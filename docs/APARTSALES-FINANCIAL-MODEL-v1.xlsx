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Headcount" sheetId="3" state="visible" r:id="rId5"/>
    <sheet name="Revenue" sheetId="4" state="visible" r:id="rId6"/>
    <sheet name="P&amp;L Year 1" sheetId="5" state="visible" r:id="rId7"/>
    <sheet name="3-Year View" sheetId="6" state="visible" r:id="rId8"/>
    <sheet name="Cap Tabl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<sst xmlns="http://schemas.openxmlformats.org/spreadsheetml/2006/main" count="379" uniqueCount="237">
  <si>
    <t xml:space="preserve">APARTSALES — FINANCIAL MODEL v1</t>
  </si>
  <si>
    <t xml:space="preserve">Версия</t>
  </si>
  <si>
    <t xml:space="preserve">v1.0 (29 апреля 2026)</t>
  </si>
  <si>
    <t xml:space="preserve">Авторы</t>
  </si>
  <si>
    <t xml:space="preserve">Billions X × Claude</t>
  </si>
  <si>
    <t xml:space="preserve">Связанный документ</t>
  </si>
  <si>
    <t xml:space="preserve">docs/APARTSALES-MODEL-v2.0.md</t>
  </si>
  <si>
    <t xml:space="preserve">Базовый сценарий</t>
  </si>
  <si>
    <t xml:space="preserve">Year 1 — Крым (Ялта/Алушта/Евпатория/Симферополь/Севастополь)</t>
  </si>
  <si>
    <t xml:space="preserve">СТРУКТУРА ФАЙЛА</t>
  </si>
  <si>
    <t xml:space="preserve">README</t>
  </si>
  <si>
    <t xml:space="preserve">Этот лист — навигация и легенда</t>
  </si>
  <si>
    <t xml:space="preserve">Inputs</t>
  </si>
  <si>
    <t xml:space="preserve">Все ассумпции в одном месте, 3 сценария в столбцах. Меняй здесь — пересчитывается всё</t>
  </si>
  <si>
    <t xml:space="preserve">Headcount</t>
  </si>
  <si>
    <t xml:space="preserve">План найма: роли × месяцы, РФ-ставки 2026, +30% страховых</t>
  </si>
  <si>
    <t xml:space="preserve">Revenue</t>
  </si>
  <si>
    <t xml:space="preserve">Помесячный build выручки через воронку (visitors → close)</t>
  </si>
  <si>
    <t xml:space="preserve">P&amp;L Year 1</t>
  </si>
  <si>
    <t xml:space="preserve">Помесячный P&amp;L Year 1 для всех 3 сценариев параллельно</t>
  </si>
  <si>
    <t xml:space="preserve">3-Year View</t>
  </si>
  <si>
    <t xml:space="preserve">Year 1 / Year 2 / Year 3 summary с расширением hubs</t>
  </si>
  <si>
    <t xml:space="preserve">Cap Table</t>
  </si>
  <si>
    <t xml:space="preserve">Структура раунда и use of funds</t>
  </si>
  <si>
    <t xml:space="preserve">ЛЕГЕНДА ЦВЕТОВ</t>
  </si>
  <si>
    <t xml:space="preserve">Синий текст</t>
  </si>
  <si>
    <t xml:space="preserve">Hardcoded input — меняй для сценариев</t>
  </si>
  <si>
    <t xml:space="preserve">Чёрный текст</t>
  </si>
  <si>
    <t xml:space="preserve">Формула / расчёт</t>
  </si>
  <si>
    <t xml:space="preserve">Зелёный текст</t>
  </si>
  <si>
    <t xml:space="preserve">Ссылка на другой лист</t>
  </si>
  <si>
    <t xml:space="preserve">Жёлтый фон</t>
  </si>
  <si>
    <t xml:space="preserve">Ключевая ассумпция — внимание</t>
  </si>
  <si>
    <t xml:space="preserve">ТРИ СЦЕНАРИЯ</t>
  </si>
  <si>
    <t xml:space="preserve">Bootstrap</t>
  </si>
  <si>
    <t xml:space="preserve">Без внешнего раунда. Founder-funded ~30M ₽. 7 FTE EOY. Маркетинг 12M ₽/год. ~400 сделок Y1</t>
  </si>
  <si>
    <t xml:space="preserve">Seed</t>
  </si>
  <si>
    <t xml:space="preserve">Раунд ~180M ₽. 15 FTE EOY. Маркетинг 60M ₽/год. ~750 сделок Y1</t>
  </si>
  <si>
    <t xml:space="preserve">Aggressive</t>
  </si>
  <si>
    <t xml:space="preserve">Pre-Seed + Seed ~350M ₽. 22 FTE EOY. Маркетинг 140M ₽/год. ~1 200 сделок Y1</t>
  </si>
  <si>
    <t xml:space="preserve">МЕТОДОЛОГИЯ</t>
  </si>
  <si>
    <t xml:space="preserve">Воронка</t>
  </si>
  <si>
    <t xml:space="preserve">Visitor → Sign-up → Activation → Qualified → Reservation → Close (5-этапная)</t>
  </si>
  <si>
    <t xml:space="preserve">Выручка / close</t>
  </si>
  <si>
    <t xml:space="preserve">ASP × 3% gross commission - 1% сертификат покупателю + adjacent services</t>
  </si>
  <si>
    <t xml:space="preserve">OpEx</t>
  </si>
  <si>
    <t xml:space="preserve">Payroll (с 30% страх.) + Marketing + Tech infra + Legal/GR + Office + Travel</t>
  </si>
  <si>
    <t xml:space="preserve">Founder comp</t>
  </si>
  <si>
    <t xml:space="preserve">Bootstrap: 200K ₽/мес deferred. Seed: 400K ₽/мес. Aggressive: 500K ₽/мес</t>
  </si>
  <si>
    <t xml:space="preserve">Tech-команда</t>
  </si>
  <si>
    <t xml:space="preserve">Claude как primary engineer. Human seniors: Bootstrap 0-1, Seed 2, Aggressive 6</t>
  </si>
  <si>
    <t xml:space="preserve">РЕКОМЕНДАЦИЯ</t>
  </si>
  <si>
    <t xml:space="preserve">См. лист Cap Table — финансовый расчёт против стратегического risk-reward</t>
  </si>
  <si>
    <t xml:space="preserve">INPUTS — Ассумпции (3 сценария)</t>
  </si>
  <si>
    <t xml:space="preserve">Метрика</t>
  </si>
  <si>
    <t xml:space="preserve">Источник / комментарий</t>
  </si>
  <si>
    <t xml:space="preserve">ФИНАНСИРОВАНИЕ</t>
  </si>
  <si>
    <t xml:space="preserve">Cash injection / раунд (₽)</t>
  </si>
  <si>
    <t xml:space="preserve">Founder-funded / Seed / Pre+Seed</t>
  </si>
  <si>
    <t xml:space="preserve">Equity дилюция (%)</t>
  </si>
  <si>
    <t xml:space="preserve">Bootstrap = 0 (founders own 100%)</t>
  </si>
  <si>
    <t xml:space="preserve">Pre-money valuation (₽)</t>
  </si>
  <si>
    <t xml:space="preserve">Seed/Aggressive ~ $10M pre-money</t>
  </si>
  <si>
    <t xml:space="preserve">СТРУКТУРА ВЫРУЧКИ</t>
  </si>
  <si>
    <t xml:space="preserve">Avg цена сделки Year 1 (₽)</t>
  </si>
  <si>
    <t xml:space="preserve">Из v2.0 — blended апарты+квартиры+виллы Крым</t>
  </si>
  <si>
    <t xml:space="preserve">Gross commission rate (%)</t>
  </si>
  <si>
    <t xml:space="preserve">Стандарт договора по ст. 1005 ГК РФ</t>
  </si>
  <si>
    <t xml:space="preserve">Сертификат покупателю (% от цены)</t>
  </si>
  <si>
    <t xml:space="preserve">Защитный механизм — clawback из comm.</t>
  </si>
  <si>
    <t xml:space="preserve">Net core revenue / close (₽)</t>
  </si>
  <si>
    <t xml:space="preserve">Computed: ASP × (gross% - cert%)</t>
  </si>
  <si>
    <t xml:space="preserve">Adjacent services / close Year 1 (₽)</t>
  </si>
  <si>
    <t xml:space="preserve">Yield mgmt, ипотечный broker, юр.док</t>
  </si>
  <si>
    <t xml:space="preserve">ВОРОНКА YEAR 1 (target EOY = декабрь)</t>
  </si>
  <si>
    <t xml:space="preserve">Visitors / month (Dec Y1)</t>
  </si>
  <si>
    <t xml:space="preserve">Ramp от 5K в Январе. Target Dec Y1</t>
  </si>
  <si>
    <t xml:space="preserve">Sign-up rate (%)</t>
  </si>
  <si>
    <t xml:space="preserve">Apartsales benchmark — премиум аудитория</t>
  </si>
  <si>
    <t xml:space="preserve">Activation rate (%)</t>
  </si>
  <si>
    <t xml:space="preserve">% sign-up which engages AI-консьерж</t>
  </si>
  <si>
    <t xml:space="preserve">Qualified rate (%)</t>
  </si>
  <si>
    <t xml:space="preserve">% activated которые проходят KYC + бюджет ОК</t>
  </si>
  <si>
    <t xml:space="preserve">Reservation rate (%)</t>
  </si>
  <si>
    <t xml:space="preserve">% qualified booking show / SMS-фиксация</t>
  </si>
  <si>
    <t xml:space="preserve">Closing rate (%)</t>
  </si>
  <si>
    <t xml:space="preserve">% reservation → подписан ДДУ</t>
  </si>
  <si>
    <t xml:space="preserve">RAMP-ПРОФИЛЬ Year 1</t>
  </si>
  <si>
    <t xml:space="preserve">Visitors month 1 (Jan)</t>
  </si>
  <si>
    <t xml:space="preserve">Старт после soft-launch</t>
  </si>
  <si>
    <t xml:space="preserve">Linear ramp factor (Jan→Dec)</t>
  </si>
  <si>
    <t xml:space="preserve">Visitors_Dec / Visitors_Jan</t>
  </si>
  <si>
    <t xml:space="preserve">HEADCOUNT — целевые EOY (FTE)</t>
  </si>
  <si>
    <t xml:space="preserve">Founders</t>
  </si>
  <si>
    <t xml:space="preserve">Ты + ко-фаундер</t>
  </si>
  <si>
    <t xml:space="preserve">Engineering (senior humans)</t>
  </si>
  <si>
    <t xml:space="preserve">+ Claude как primary engineer (zero salary)</t>
  </si>
  <si>
    <t xml:space="preserve">AI/ML specialists</t>
  </si>
  <si>
    <t xml:space="preserve">Prompt eng + model fine-tuning</t>
  </si>
  <si>
    <t xml:space="preserve">BD / Sales (developer outreach)</t>
  </si>
  <si>
    <t xml:space="preserve">Партнёрство с застройщиками</t>
  </si>
  <si>
    <t xml:space="preserve">Marketing / Content</t>
  </si>
  <si>
    <t xml:space="preserve">Telegram, YouTube, SEO</t>
  </si>
  <si>
    <t xml:space="preserve">Customer Success / AI supervisor</t>
  </si>
  <si>
    <t xml:space="preserve">Поддержка покупателей</t>
  </si>
  <si>
    <t xml:space="preserve">Designer</t>
  </si>
  <si>
    <t xml:space="preserve">Bootstrap = freelance</t>
  </si>
  <si>
    <t xml:space="preserve">Legal / Compliance / GR</t>
  </si>
  <si>
    <t xml:space="preserve">Договоры, anti-leakage</t>
  </si>
  <si>
    <t xml:space="preserve">Finance / Ops</t>
  </si>
  <si>
    <t xml:space="preserve">Bootstrap = founder + бухгалтер outsource</t>
  </si>
  <si>
    <t xml:space="preserve">HR / People</t>
  </si>
  <si>
    <t xml:space="preserve">Только в Aggressive с 22 FTE</t>
  </si>
  <si>
    <t xml:space="preserve">ИТОГО FTE EOY</t>
  </si>
  <si>
    <t xml:space="preserve">ЗАРПЛАТЫ РФ 2026 (gross ₽/мес на 1 FTE) + 30% страховых = total cost</t>
  </si>
  <si>
    <t xml:space="preserve">Founder</t>
  </si>
  <si>
    <t xml:space="preserve">Bootstrap: deferred. Seed/Agg: market-aligned</t>
  </si>
  <si>
    <t xml:space="preserve">Senior engineer</t>
  </si>
  <si>
    <t xml:space="preserve">Senior full-stack РФ 2026</t>
  </si>
  <si>
    <t xml:space="preserve">AI/ML specialist</t>
  </si>
  <si>
    <t xml:space="preserve">Prompt eng + ML</t>
  </si>
  <si>
    <t xml:space="preserve">BD / Sales</t>
  </si>
  <si>
    <t xml:space="preserve">+ commission 5% от revenue (см. отдельно)</t>
  </si>
  <si>
    <t xml:space="preserve">Senior content lead</t>
  </si>
  <si>
    <t xml:space="preserve">Customer Success</t>
  </si>
  <si>
    <t xml:space="preserve">Mid-level</t>
  </si>
  <si>
    <t xml:space="preserve">Senior product designer</t>
  </si>
  <si>
    <t xml:space="preserve">Legal / GR</t>
  </si>
  <si>
    <t xml:space="preserve">Корпоративный юрист</t>
  </si>
  <si>
    <t xml:space="preserve">Только Aggressive</t>
  </si>
  <si>
    <t xml:space="preserve">Страховые взносы (множитель)</t>
  </si>
  <si>
    <t xml:space="preserve">30% страховых на gross — РФ 2026</t>
  </si>
  <si>
    <t xml:space="preserve">MARKETING &amp; ACQUISITION</t>
  </si>
  <si>
    <t xml:space="preserve">Marketing budget Year 1 total (₽)</t>
  </si>
  <si>
    <t xml:space="preserve">Total digital + content + partnerships</t>
  </si>
  <si>
    <t xml:space="preserve">Telegram-каналы (% бюджета)</t>
  </si>
  <si>
    <t xml:space="preserve">Инвест-каналы Москвы/СПб</t>
  </si>
  <si>
    <t xml:space="preserve">YouTube-блогеры о Крыме (%)</t>
  </si>
  <si>
    <t xml:space="preserve">Travel + invest content</t>
  </si>
  <si>
    <t xml:space="preserve">SEO + content (%)</t>
  </si>
  <si>
    <t xml:space="preserve">Bootstrap делает упор на SEO (cheap)</t>
  </si>
  <si>
    <t xml:space="preserve">Performance ads VK / Yandex (%)</t>
  </si>
  <si>
    <t xml:space="preserve">Brand / PR / Apartsales Studio (%)</t>
  </si>
  <si>
    <t xml:space="preserve">ПРОЧИЕ OPEX (₽/год)</t>
  </si>
  <si>
    <t xml:space="preserve">Tech infrastructure (cloud, AI API, SaaS)</t>
  </si>
  <si>
    <t xml:space="preserve">Vercel + Supabase + Claude API + аналитика</t>
  </si>
  <si>
    <t xml:space="preserve">Legal / договоры / pilots</t>
  </si>
  <si>
    <t xml:space="preserve">Юр.шаблоны, due diligence pilot-застройщиков</t>
  </si>
  <si>
    <t xml:space="preserve">Office (Москва)</t>
  </si>
  <si>
    <t xml:space="preserve">Bootstrap = co-working. Seed = 100m². Aggr = 250m²</t>
  </si>
  <si>
    <t xml:space="preserve">Travel (поездки в Крым)</t>
  </si>
  <si>
    <t xml:space="preserve">BD-визиты к застройщикам</t>
  </si>
  <si>
    <t xml:space="preserve">Бухгалтерия / аудит / outsource</t>
  </si>
  <si>
    <t xml:space="preserve">Прочее / резерв</t>
  </si>
  <si>
    <t xml:space="preserve">10% buffer</t>
  </si>
  <si>
    <t xml:space="preserve">КОМПУТИРУЕМЫЕ МЕТРИКИ (Dec Y1, EOY run-rate)</t>
  </si>
  <si>
    <t xml:space="preserve">Visitor → Close conversion (%)</t>
  </si>
  <si>
    <t xml:space="preserve">Произведение всей воронки</t>
  </si>
  <si>
    <t xml:space="preserve">Closes / month (Dec Y1)</t>
  </si>
  <si>
    <t xml:space="preserve">Visitors_Dec × conversion</t>
  </si>
  <si>
    <t xml:space="preserve">Net revenue / close blended (₽)</t>
  </si>
  <si>
    <t xml:space="preserve">Net core + adjacent</t>
  </si>
  <si>
    <t xml:space="preserve">HEADCOUNT — План найма по месяцам (FTE on payroll)</t>
  </si>
  <si>
    <t xml:space="preserve">Роль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</si>
  <si>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</si>
  <si>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</si>
  <si>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</si>
  <si>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</si>
  <si>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</si>
  <si>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</si>
  <si>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</si>
  <si>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</si>
  <si>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</si>
  <si>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</si>
  <si>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</si>
  <si>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</si>
  <si>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EOY</t>
  </si>
  <si>
    <t xml:space="preserve">AI/ML</t>
  </si>
  <si>
    <t xml:space="preserve">Marketing</t>
  </si>
  <si>
    <t xml:space="preserve">ИТОГО Bootstrap</t>
  </si>
  <si>
    <t xml:space="preserve">ИТОГО Seed</t>
  </si>
  <si>
    <t xml:space="preserve">ИТОГО Aggressive</t>
  </si>
  <si>
    <t xml:space="preserve">REVENUE BUILD — Year 1 помесячный по 3 сценариям</t>
  </si>
  <si>
    <t xml:space="preserve">Year 1 Total</t>
  </si>
  <si>
    <t xml:space="preserve">Visitors</t>
  </si>
  <si>
    <t xml:space="preserve">Sign-ups</t>
  </si>
  <si>
    <t xml:space="preserve">Activated</t>
  </si>
  <si>
    <t xml:space="preserve">Qualified</t>
  </si>
  <si>
    <t xml:space="preserve">Reservations (lead lock)</t>
  </si>
  <si>
    <t xml:space="preserve">Closes (с лагом 1.5 мес)</t>
  </si>
  <si>
    <t xml:space="preserve">Revenue (₽)</t>
  </si>
  <si>
    <t xml:space="preserve">P&amp;L YEAR 1 — Помесячный (3 сценария)</t>
  </si>
  <si>
    <t xml:space="preserve">OPEX:</t>
  </si>
  <si>
    <t xml:space="preserve">Payroll (с 30% страховых)</t>
  </si>
  <si>
    <t xml:space="preserve">Marketing &amp; acquisition</t>
  </si>
  <si>
    <t xml:space="preserve">Tech infrastructure</t>
  </si>
  <si>
    <t xml:space="preserve">Office</t>
  </si>
  <si>
    <t xml:space="preserve">Travel (Крым)</t>
  </si>
  <si>
    <t xml:space="preserve">Бухгалтерия / outsource</t>
  </si>
  <si>
    <t xml:space="preserve">BD commission (5% of revenue)</t>
  </si>
  <si>
    <t xml:space="preserve">Total OpEx</t>
  </si>
  <si>
    <t xml:space="preserve">EBITDA</t>
  </si>
  <si>
    <t xml:space="preserve">Cash position EOM</t>
  </si>
  <si>
    <t xml:space="preserve">Closes / month (memo)</t>
  </si>
  <si>
    <t xml:space="preserve">3-YEAR VIEW — Scenarios × Years</t>
  </si>
  <si>
    <t xml:space="preserve">Y1</t>
  </si>
  <si>
    <t xml:space="preserve">Y2</t>
  </si>
  <si>
    <t xml:space="preserve">Y3</t>
  </si>
  <si>
    <t xml:space="preserve">Headcount EOY</t>
  </si>
  <si>
    <t xml:space="preserve">Closes (сделки)</t>
  </si>
  <si>
    <t xml:space="preserve">OpEx (oценочно)</t>
  </si>
  <si>
    <t xml:space="preserve">EBITDA margin (%)</t>
  </si>
  <si>
    <t xml:space="preserve">Cash position EOY</t>
  </si>
  <si>
    <t xml:space="preserve">CAP TABLE &amp; USE OF FUNDS</t>
  </si>
  <si>
    <t xml:space="preserve">Комментарий</t>
  </si>
  <si>
    <t xml:space="preserve">Cash injection (₽)</t>
  </si>
  <si>
    <t xml:space="preserve">Из Inputs</t>
  </si>
  <si>
    <t xml:space="preserve">Bootstrap = N/A; Seed/Agg ~ $10M</t>
  </si>
  <si>
    <t xml:space="preserve">Post-money valuation (₽)</t>
  </si>
  <si>
    <t xml:space="preserve">Pre + cash</t>
  </si>
  <si>
    <t xml:space="preserve">Investor stake (%)</t>
  </si>
  <si>
    <t xml:space="preserve">Дилюция founders</t>
  </si>
  <si>
    <t xml:space="preserve">Founders stake post (%)</t>
  </si>
  <si>
    <t xml:space="preserve">100% - investor stake</t>
  </si>
  <si>
    <t xml:space="preserve">USE OF FUNDS — Year 1 (% от cash injection)</t>
  </si>
  <si>
    <t xml:space="preserve">Категория</t>
  </si>
  <si>
    <t xml:space="preserve">Примечание</t>
  </si>
  <si>
    <t xml:space="preserve">Payroll</t>
  </si>
  <si>
    <t xml:space="preserve">Travel</t>
  </si>
  <si>
    <t xml:space="preserve">Legal / договоры</t>
  </si>
  <si>
    <t xml:space="preserve">Бухгалтерия</t>
  </si>
  <si>
    <t xml:space="preserve">BD commission</t>
  </si>
  <si>
    <t xml:space="preserve">ВСЕГО OpEx Year 1</t>
  </si>
  <si>
    <t xml:space="preserve">Минус: Year 1 Revenue</t>
  </si>
  <si>
    <t xml:space="preserve">Net cash flow Year 1 (полож. = профицит)</t>
  </si>
  <si>
    <t xml:space="preserve">Cash remaining EOY</t>
  </si>
  <si>
    <t xml:space="preserve">Месяцев runway после Y1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</si>
</sst>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&quot; ₽&quot;;\(#,##0&quot; ₽)&quot;;\-"/>
    <numFmt numFmtId="166" formatCode="0.0%;\(0.0%\);\-"/>
    <numFmt numFmtId="167" formatCode="#,##0;\(#,##0\);\-"/>
    <numFmt numFmtId="168" formatCode="0.0\x"/>
    <numFmt numFmtId="169" formatCode="0.00\x"/>
    <numFmt numFmtId="170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E5E7EB"/>
        <bgColor rgb="FFDBEAFE"/>
      </patternFill>
    </fill>
    <fill>
      <patternFill patternType="solid">
        <fgColor rgb="FF1F2937"/>
        <bgColor rgb="FF333300"/>
      </patternFill>
    </fill>
    <fill>
      <patternFill patternType="solid">
        <fgColor rgb="FFDBEAFE"/>
        <bgColor rgb="FFE5E7EB"/>
      </patternFill>
    </fill>
    <fill>
      <patternFill patternType="solid">
        <fgColor rgb="FFDCFCE7"/>
        <bgColor rgb="FFDBEAFE"/>
      </patternFill>
    </fill>
    <fill>
      <patternFill patternType="solid">
        <fgColor rgb="FFFCE7F3"/>
        <bgColor rgb="FFE5E7EB"/>
      </patternFill>
    </fill>
    <fill>
      <patternFill patternType="solid">
        <fgColor rgb="FFFFFF00"/>
        <bgColor rgb="FFFFFF00"/>
      </patternFill>
    </fill>
    <fill>
      <patternFill patternType="solid">
        <fgColor rgb="FFFEF3C7"/>
        <bgColor rgb="FFFCE7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FCE7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5E7E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CA3AF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90"/>
  </cols>
  <sheetData>
    <row r="1" customFormat="false" ht="17.25" hidden="false" customHeight="true" outlineLevel="0" collapsed="false">
      <c r="A1" s="2" t="s">
        <v>0</v>
      </c>
      <c r="B1" s="2"/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s">
        <v>6</v>
      </c>
    </row>
    <row r="6" customFormat="false" ht="15" hidden="false" customHeight="true" outlineLevel="0" collapsed="false">
      <c r="A6" s="3" t="s">
        <v>7</v>
      </c>
      <c r="B6" s="4" t="s">
        <v>8</v>
      </c>
    </row>
    <row r="7" customFormat="false" ht="15" hidden="false" customHeight="true" outlineLevel="0" collapsed="false">
      <c r="A7" s="3"/>
      <c r="B7" s="4"/>
    </row>
    <row r="8" customFormat="false" ht="15" hidden="false" customHeight="true" outlineLevel="0" collapsed="false">
      <c r="A8" s="5" t="s">
        <v>9</v>
      </c>
      <c r="B8" s="6"/>
    </row>
    <row r="9" customFormat="false" ht="15" hidden="false" customHeight="true" outlineLevel="0" collapsed="false">
      <c r="A9" s="3" t="s">
        <v>10</v>
      </c>
      <c r="B9" s="4" t="s">
        <v>11</v>
      </c>
    </row>
    <row r="10" customFormat="false" ht="15" hidden="false" customHeight="true" outlineLevel="0" collapsed="false">
      <c r="A10" s="3" t="s">
        <v>12</v>
      </c>
      <c r="B10" s="4" t="s">
        <v>13</v>
      </c>
    </row>
    <row r="11" customFormat="false" ht="15" hidden="false" customHeight="true" outlineLevel="0" collapsed="false">
      <c r="A11" s="3" t="s">
        <v>14</v>
      </c>
      <c r="B11" s="4" t="s">
        <v>15</v>
      </c>
    </row>
    <row r="12" customFormat="false" ht="15" hidden="false" customHeight="true" outlineLevel="0" collapsed="false">
      <c r="A12" s="3" t="s">
        <v>16</v>
      </c>
      <c r="B12" s="4" t="s">
        <v>17</v>
      </c>
    </row>
    <row r="13" customFormat="false" ht="15" hidden="false" customHeight="true" outlineLevel="0" collapsed="false">
      <c r="A13" s="3" t="s">
        <v>18</v>
      </c>
      <c r="B13" s="4" t="s">
        <v>19</v>
      </c>
    </row>
    <row r="14" customFormat="false" ht="15" hidden="false" customHeight="true" outlineLevel="0" collapsed="false">
      <c r="A14" s="3" t="s">
        <v>20</v>
      </c>
      <c r="B14" s="4" t="s">
        <v>21</v>
      </c>
    </row>
    <row r="15" customFormat="false" ht="15" hidden="false" customHeight="true" outlineLevel="0" collapsed="false">
      <c r="A15" s="3" t="s">
        <v>22</v>
      </c>
      <c r="B15" s="4" t="s">
        <v>23</v>
      </c>
    </row>
    <row r="16" customFormat="false" ht="15" hidden="false" customHeight="true" outlineLevel="0" collapsed="false">
      <c r="A16" s="3"/>
      <c r="B16" s="4"/>
    </row>
    <row r="17" customFormat="false" ht="15" hidden="false" customHeight="true" outlineLevel="0" collapsed="false">
      <c r="A17" s="5" t="s">
        <v>24</v>
      </c>
      <c r="B17" s="6"/>
    </row>
    <row r="18" customFormat="false" ht="15" hidden="false" customHeight="true" outlineLevel="0" collapsed="false">
      <c r="A18" s="3" t="s">
        <v>25</v>
      </c>
      <c r="B18" s="4" t="s">
        <v>26</v>
      </c>
    </row>
    <row r="19" customFormat="false" ht="15" hidden="false" customHeight="true" outlineLevel="0" collapsed="false">
      <c r="A19" s="3" t="s">
        <v>27</v>
      </c>
      <c r="B19" s="4" t="s">
        <v>28</v>
      </c>
    </row>
    <row r="20" customFormat="false" ht="15" hidden="false" customHeight="true" outlineLevel="0" collapsed="false">
      <c r="A20" s="3" t="s">
        <v>29</v>
      </c>
      <c r="B20" s="4" t="s">
        <v>30</v>
      </c>
    </row>
    <row r="21" customFormat="false" ht="15" hidden="false" customHeight="true" outlineLevel="0" collapsed="false">
      <c r="A21" s="3" t="s">
        <v>31</v>
      </c>
      <c r="B21" s="4" t="s">
        <v>32</v>
      </c>
    </row>
    <row r="22" customFormat="false" ht="15" hidden="false" customHeight="true" outlineLevel="0" collapsed="false">
      <c r="A22" s="3"/>
      <c r="B22" s="4"/>
    </row>
    <row r="23" customFormat="false" ht="15" hidden="false" customHeight="true" outlineLevel="0" collapsed="false">
      <c r="A23" s="5" t="s">
        <v>33</v>
      </c>
      <c r="B23" s="6"/>
    </row>
    <row r="24" customFormat="false" ht="15" hidden="false" customHeight="true" outlineLevel="0" collapsed="false">
      <c r="A24" s="3" t="s">
        <v>34</v>
      </c>
      <c r="B24" s="4" t="s">
        <v>35</v>
      </c>
    </row>
    <row r="25" customFormat="false" ht="15" hidden="false" customHeight="true" outlineLevel="0" collapsed="false">
      <c r="A25" s="3" t="s">
        <v>36</v>
      </c>
      <c r="B25" s="4" t="s">
        <v>37</v>
      </c>
    </row>
    <row r="26" customFormat="false" ht="15" hidden="false" customHeight="true" outlineLevel="0" collapsed="false">
      <c r="A26" s="3" t="s">
        <v>38</v>
      </c>
      <c r="B26" s="4" t="s">
        <v>39</v>
      </c>
    </row>
    <row r="27" customFormat="false" ht="15" hidden="false" customHeight="true" outlineLevel="0" collapsed="false">
      <c r="A27" s="3"/>
      <c r="B27" s="4"/>
    </row>
    <row r="28" customFormat="false" ht="15" hidden="false" customHeight="true" outlineLevel="0" collapsed="false">
      <c r="A28" s="5" t="s">
        <v>40</v>
      </c>
      <c r="B28" s="6"/>
    </row>
    <row r="29" customFormat="false" ht="15" hidden="false" customHeight="true" outlineLevel="0" collapsed="false">
      <c r="A29" s="3" t="s">
        <v>41</v>
      </c>
      <c r="B29" s="4" t="s">
        <v>42</v>
      </c>
    </row>
    <row r="30" customFormat="false" ht="15" hidden="false" customHeight="true" outlineLevel="0" collapsed="false">
      <c r="A30" s="3" t="s">
        <v>43</v>
      </c>
      <c r="B30" s="4" t="s">
        <v>44</v>
      </c>
    </row>
    <row r="31" customFormat="false" ht="15" hidden="false" customHeight="true" outlineLevel="0" collapsed="false">
      <c r="A31" s="3" t="s">
        <v>45</v>
      </c>
      <c r="B31" s="4" t="s">
        <v>46</v>
      </c>
    </row>
    <row r="32" customFormat="false" ht="15" hidden="false" customHeight="true" outlineLevel="0" collapsed="false">
      <c r="A32" s="3" t="s">
        <v>47</v>
      </c>
      <c r="B32" s="4" t="s">
        <v>48</v>
      </c>
    </row>
    <row r="33" customFormat="false" ht="15" hidden="false" customHeight="true" outlineLevel="0" collapsed="false">
      <c r="A33" s="3" t="s">
        <v>49</v>
      </c>
      <c r="B33" s="4" t="s">
        <v>50</v>
      </c>
    </row>
    <row r="34" customFormat="false" ht="15" hidden="false" customHeight="true" outlineLevel="0" collapsed="false">
      <c r="A34" s="3"/>
      <c r="B34" s="4"/>
    </row>
    <row r="35" customFormat="false" ht="15" hidden="false" customHeight="true" outlineLevel="0" collapsed="false">
      <c r="A35" s="5" t="s">
        <v>51</v>
      </c>
      <c r="B35" s="6" t="s">
        <v>52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4" min="2" style="1" width="18"/>
    <col collapsed="false" customWidth="true" hidden="false" outlineLevel="0" max="5" min="5" style="1" width="50"/>
  </cols>
  <sheetData>
    <row r="1" customFormat="false" ht="17.25" hidden="false" customHeight="true" outlineLevel="0" collapsed="false">
      <c r="A1" s="2" t="s">
        <v>53</v>
      </c>
      <c r="B1" s="2"/>
      <c r="C1" s="2"/>
      <c r="D1" s="2"/>
      <c r="E1" s="2"/>
    </row>
    <row r="3" customFormat="false" ht="15" hidden="false" customHeight="true" outlineLevel="0" collapsed="false">
      <c r="A3" s="7" t="s">
        <v>54</v>
      </c>
      <c r="B3" s="8" t="s">
        <v>34</v>
      </c>
      <c r="C3" s="9" t="s">
        <v>36</v>
      </c>
      <c r="D3" s="10" t="s">
        <v>38</v>
      </c>
      <c r="E3" s="7" t="s">
        <v>55</v>
      </c>
    </row>
    <row r="4" customFormat="false" ht="15" hidden="false" customHeight="true" outlineLevel="0" collapsed="false">
      <c r="A4" s="11" t="s">
        <v>56</v>
      </c>
      <c r="B4" s="11"/>
      <c r="C4" s="11"/>
      <c r="D4" s="11"/>
      <c r="E4" s="11"/>
    </row>
    <row r="5" customFormat="false" ht="15" hidden="false" customHeight="true" outlineLevel="0" collapsed="false">
      <c r="A5" s="12" t="s">
        <v>57</v>
      </c>
      <c r="B5" s="13" t="n">
        <v>30000000</v>
      </c>
      <c r="C5" s="13" t="n">
        <v>180000000</v>
      </c>
      <c r="D5" s="13" t="n">
        <v>350000000</v>
      </c>
      <c r="E5" s="14" t="s">
        <v>58</v>
      </c>
    </row>
    <row r="6" customFormat="false" ht="15" hidden="false" customHeight="true" outlineLevel="0" collapsed="false">
      <c r="A6" s="12" t="s">
        <v>59</v>
      </c>
      <c r="B6" s="15" t="n">
        <v>0</v>
      </c>
      <c r="C6" s="15" t="n">
        <v>0.18</v>
      </c>
      <c r="D6" s="15" t="n">
        <v>0.3</v>
      </c>
      <c r="E6" s="14" t="s">
        <v>60</v>
      </c>
    </row>
    <row r="7" customFormat="false" ht="15" hidden="false" customHeight="true" outlineLevel="0" collapsed="false">
      <c r="A7" s="12" t="s">
        <v>61</v>
      </c>
      <c r="B7" s="16" t="n">
        <v>0</v>
      </c>
      <c r="C7" s="16" t="n">
        <v>820000000</v>
      </c>
      <c r="D7" s="16" t="n">
        <v>820000000</v>
      </c>
      <c r="E7" s="14" t="s">
        <v>62</v>
      </c>
    </row>
    <row r="9" customFormat="false" ht="15" hidden="false" customHeight="true" outlineLevel="0" collapsed="false">
      <c r="A9" s="11" t="s">
        <v>63</v>
      </c>
      <c r="B9" s="11"/>
      <c r="C9" s="11"/>
      <c r="D9" s="11"/>
      <c r="E9" s="11"/>
    </row>
    <row r="10" customFormat="false" ht="15" hidden="false" customHeight="true" outlineLevel="0" collapsed="false">
      <c r="A10" s="12" t="s">
        <v>64</v>
      </c>
      <c r="B10" s="13" t="n">
        <v>14000000</v>
      </c>
      <c r="C10" s="13" t="n">
        <v>14000000</v>
      </c>
      <c r="D10" s="13" t="n">
        <v>14000000</v>
      </c>
      <c r="E10" s="14" t="s">
        <v>65</v>
      </c>
    </row>
    <row r="11" customFormat="false" ht="15" hidden="false" customHeight="true" outlineLevel="0" collapsed="false">
      <c r="A11" s="12" t="s">
        <v>66</v>
      </c>
      <c r="B11" s="15" t="n">
        <v>0.03</v>
      </c>
      <c r="C11" s="15" t="n">
        <v>0.03</v>
      </c>
      <c r="D11" s="15" t="n">
        <v>0.03</v>
      </c>
      <c r="E11" s="14" t="s">
        <v>67</v>
      </c>
    </row>
    <row r="12" customFormat="false" ht="15" hidden="false" customHeight="true" outlineLevel="0" collapsed="false">
      <c r="A12" s="12" t="s">
        <v>68</v>
      </c>
      <c r="B12" s="15" t="n">
        <v>0.01</v>
      </c>
      <c r="C12" s="15" t="n">
        <v>0.01</v>
      </c>
      <c r="D12" s="15" t="n">
        <v>0.01</v>
      </c>
      <c r="E12" s="14" t="s">
        <v>69</v>
      </c>
    </row>
    <row r="13" customFormat="false" ht="15" hidden="false" customHeight="true" outlineLevel="0" collapsed="false">
      <c r="A13" s="12" t="s">
        <v>70</v>
      </c>
      <c r="B13" s="17" t="n">
        <f aca="false">B10*B11-B10*B12</f>
        <v>280000</v>
      </c>
      <c r="C13" s="17" t="n">
        <f aca="false">C10*C11-C10*C12</f>
        <v>280000</v>
      </c>
      <c r="D13" s="17" t="n">
        <f aca="false">D10*D11-D10*D12</f>
        <v>280000</v>
      </c>
      <c r="E13" s="14" t="s">
        <v>71</v>
      </c>
    </row>
    <row r="14" customFormat="false" ht="15" hidden="false" customHeight="true" outlineLevel="0" collapsed="false">
      <c r="A14" s="12" t="s">
        <v>72</v>
      </c>
      <c r="B14" s="16" t="n">
        <v>50000</v>
      </c>
      <c r="C14" s="16" t="n">
        <v>80000</v>
      </c>
      <c r="D14" s="16" t="n">
        <v>100000</v>
      </c>
      <c r="E14" s="14" t="s">
        <v>73</v>
      </c>
    </row>
    <row r="16" customFormat="false" ht="15" hidden="false" customHeight="true" outlineLevel="0" collapsed="false">
      <c r="A16" s="11" t="s">
        <v>74</v>
      </c>
      <c r="B16" s="11"/>
      <c r="C16" s="11"/>
      <c r="D16" s="11"/>
      <c r="E16" s="11"/>
    </row>
    <row r="17" customFormat="false" ht="15" hidden="false" customHeight="true" outlineLevel="0" collapsed="false">
      <c r="A17" s="12" t="s">
        <v>75</v>
      </c>
      <c r="B17" s="18" t="n">
        <v>20000</v>
      </c>
      <c r="C17" s="18" t="n">
        <v>40000</v>
      </c>
      <c r="D17" s="18" t="n">
        <v>70000</v>
      </c>
      <c r="E17" s="14" t="s">
        <v>76</v>
      </c>
    </row>
    <row r="18" customFormat="false" ht="15" hidden="false" customHeight="true" outlineLevel="0" collapsed="false">
      <c r="A18" s="12" t="s">
        <v>77</v>
      </c>
      <c r="B18" s="15" t="n">
        <v>0.1</v>
      </c>
      <c r="C18" s="15" t="n">
        <v>0.12</v>
      </c>
      <c r="D18" s="15" t="n">
        <v>0.13</v>
      </c>
      <c r="E18" s="14" t="s">
        <v>78</v>
      </c>
    </row>
    <row r="19" customFormat="false" ht="15" hidden="false" customHeight="true" outlineLevel="0" collapsed="false">
      <c r="A19" s="12" t="s">
        <v>79</v>
      </c>
      <c r="B19" s="15" t="n">
        <v>0.3</v>
      </c>
      <c r="C19" s="15" t="n">
        <v>0.35</v>
      </c>
      <c r="D19" s="15" t="n">
        <v>0.38</v>
      </c>
      <c r="E19" s="14" t="s">
        <v>80</v>
      </c>
    </row>
    <row r="20" customFormat="false" ht="15" hidden="false" customHeight="true" outlineLevel="0" collapsed="false">
      <c r="A20" s="12" t="s">
        <v>81</v>
      </c>
      <c r="B20" s="15" t="n">
        <v>0.22</v>
      </c>
      <c r="C20" s="15" t="n">
        <v>0.25</v>
      </c>
      <c r="D20" s="15" t="n">
        <v>0.28</v>
      </c>
      <c r="E20" s="14" t="s">
        <v>82</v>
      </c>
    </row>
    <row r="21" customFormat="false" ht="15" hidden="false" customHeight="true" outlineLevel="0" collapsed="false">
      <c r="A21" s="12" t="s">
        <v>83</v>
      </c>
      <c r="B21" s="15" t="n">
        <v>0.55</v>
      </c>
      <c r="C21" s="15" t="n">
        <v>0.6</v>
      </c>
      <c r="D21" s="15" t="n">
        <v>0.65</v>
      </c>
      <c r="E21" s="14" t="s">
        <v>84</v>
      </c>
    </row>
    <row r="22" customFormat="false" ht="15" hidden="false" customHeight="true" outlineLevel="0" collapsed="false">
      <c r="A22" s="12" t="s">
        <v>85</v>
      </c>
      <c r="B22" s="19" t="n">
        <v>0.2</v>
      </c>
      <c r="C22" s="19" t="n">
        <v>0.23</v>
      </c>
      <c r="D22" s="19" t="n">
        <v>0.25</v>
      </c>
      <c r="E22" s="14" t="s">
        <v>86</v>
      </c>
    </row>
    <row r="24" customFormat="false" ht="15" hidden="false" customHeight="true" outlineLevel="0" collapsed="false">
      <c r="A24" s="11" t="s">
        <v>87</v>
      </c>
      <c r="B24" s="11"/>
      <c r="C24" s="11"/>
      <c r="D24" s="11"/>
      <c r="E24" s="11"/>
    </row>
    <row r="25" customFormat="false" ht="15" hidden="false" customHeight="true" outlineLevel="0" collapsed="false">
      <c r="A25" s="12" t="s">
        <v>88</v>
      </c>
      <c r="B25" s="20" t="n">
        <v>3000</v>
      </c>
      <c r="C25" s="20" t="n">
        <v>8000</v>
      </c>
      <c r="D25" s="20" t="n">
        <v>15000</v>
      </c>
      <c r="E25" s="14" t="s">
        <v>89</v>
      </c>
    </row>
    <row r="26" customFormat="false" ht="15" hidden="false" customHeight="true" outlineLevel="0" collapsed="false">
      <c r="A26" s="12" t="s">
        <v>90</v>
      </c>
      <c r="B26" s="21" t="n">
        <v>6.7</v>
      </c>
      <c r="C26" s="21" t="n">
        <v>5</v>
      </c>
      <c r="D26" s="21" t="n">
        <v>4.7</v>
      </c>
      <c r="E26" s="14" t="s">
        <v>91</v>
      </c>
    </row>
    <row r="28" customFormat="false" ht="15" hidden="false" customHeight="true" outlineLevel="0" collapsed="false">
      <c r="A28" s="11" t="s">
        <v>92</v>
      </c>
      <c r="B28" s="11"/>
      <c r="C28" s="11"/>
      <c r="D28" s="11"/>
      <c r="E28" s="11"/>
    </row>
    <row r="29" customFormat="false" ht="15" hidden="false" customHeight="true" outlineLevel="0" collapsed="false">
      <c r="A29" s="12" t="s">
        <v>93</v>
      </c>
      <c r="B29" s="20" t="n">
        <v>2</v>
      </c>
      <c r="C29" s="20" t="n">
        <v>2</v>
      </c>
      <c r="D29" s="20" t="n">
        <v>2</v>
      </c>
      <c r="E29" s="14" t="s">
        <v>94</v>
      </c>
    </row>
    <row r="30" customFormat="false" ht="15" hidden="false" customHeight="true" outlineLevel="0" collapsed="false">
      <c r="A30" s="12" t="s">
        <v>95</v>
      </c>
      <c r="B30" s="18" t="n">
        <v>1</v>
      </c>
      <c r="C30" s="18" t="n">
        <v>2</v>
      </c>
      <c r="D30" s="18" t="n">
        <v>6</v>
      </c>
      <c r="E30" s="14" t="s">
        <v>96</v>
      </c>
    </row>
    <row r="31" customFormat="false" ht="15" hidden="false" customHeight="true" outlineLevel="0" collapsed="false">
      <c r="A31" s="12" t="s">
        <v>97</v>
      </c>
      <c r="B31" s="20" t="n">
        <v>0</v>
      </c>
      <c r="C31" s="20" t="n">
        <v>1</v>
      </c>
      <c r="D31" s="20" t="n">
        <v>2</v>
      </c>
      <c r="E31" s="14" t="s">
        <v>98</v>
      </c>
    </row>
    <row r="32" customFormat="false" ht="15" hidden="false" customHeight="true" outlineLevel="0" collapsed="false">
      <c r="A32" s="12" t="s">
        <v>99</v>
      </c>
      <c r="B32" s="20" t="n">
        <v>1</v>
      </c>
      <c r="C32" s="20" t="n">
        <v>3</v>
      </c>
      <c r="D32" s="20" t="n">
        <v>4</v>
      </c>
      <c r="E32" s="14" t="s">
        <v>100</v>
      </c>
    </row>
    <row r="33" customFormat="false" ht="15" hidden="false" customHeight="true" outlineLevel="0" collapsed="false">
      <c r="A33" s="12" t="s">
        <v>101</v>
      </c>
      <c r="B33" s="20" t="n">
        <v>1</v>
      </c>
      <c r="C33" s="20" t="n">
        <v>2</v>
      </c>
      <c r="D33" s="20" t="n">
        <v>3</v>
      </c>
      <c r="E33" s="14" t="s">
        <v>102</v>
      </c>
    </row>
    <row r="34" customFormat="false" ht="15" hidden="false" customHeight="true" outlineLevel="0" collapsed="false">
      <c r="A34" s="12" t="s">
        <v>103</v>
      </c>
      <c r="B34" s="20" t="n">
        <v>1</v>
      </c>
      <c r="C34" s="20" t="n">
        <v>2</v>
      </c>
      <c r="D34" s="20" t="n">
        <v>3</v>
      </c>
      <c r="E34" s="14" t="s">
        <v>104</v>
      </c>
    </row>
    <row r="35" customFormat="false" ht="15" hidden="false" customHeight="true" outlineLevel="0" collapsed="false">
      <c r="A35" s="12" t="s">
        <v>105</v>
      </c>
      <c r="B35" s="20" t="n">
        <v>0</v>
      </c>
      <c r="C35" s="20" t="n">
        <v>1</v>
      </c>
      <c r="D35" s="20" t="n">
        <v>1</v>
      </c>
      <c r="E35" s="14" t="s">
        <v>106</v>
      </c>
    </row>
    <row r="36" customFormat="false" ht="15" hidden="false" customHeight="true" outlineLevel="0" collapsed="false">
      <c r="A36" s="12" t="s">
        <v>107</v>
      </c>
      <c r="B36" s="20" t="n">
        <v>1</v>
      </c>
      <c r="C36" s="20" t="n">
        <v>1</v>
      </c>
      <c r="D36" s="20" t="n">
        <v>1</v>
      </c>
      <c r="E36" s="14" t="s">
        <v>108</v>
      </c>
    </row>
    <row r="37" customFormat="false" ht="15" hidden="false" customHeight="true" outlineLevel="0" collapsed="false">
      <c r="A37" s="12" t="s">
        <v>109</v>
      </c>
      <c r="B37" s="20" t="n">
        <v>0</v>
      </c>
      <c r="C37" s="20" t="n">
        <v>1</v>
      </c>
      <c r="D37" s="20" t="n">
        <v>1</v>
      </c>
      <c r="E37" s="14" t="s">
        <v>110</v>
      </c>
    </row>
    <row r="38" customFormat="false" ht="15" hidden="false" customHeight="true" outlineLevel="0" collapsed="false">
      <c r="A38" s="12" t="s">
        <v>111</v>
      </c>
      <c r="B38" s="20" t="n">
        <v>0</v>
      </c>
      <c r="C38" s="20" t="n">
        <v>0</v>
      </c>
      <c r="D38" s="20" t="n">
        <v>1</v>
      </c>
      <c r="E38" s="14" t="s">
        <v>112</v>
      </c>
    </row>
    <row r="39" customFormat="false" ht="15" hidden="false" customHeight="true" outlineLevel="0" collapsed="false">
      <c r="A39" s="22" t="s">
        <v>113</v>
      </c>
      <c r="B39" s="23" t="n">
        <f aca="false">SUM(B29:B38)</f>
        <v>7</v>
      </c>
      <c r="C39" s="23" t="n">
        <f aca="false">SUM(C29:C38)</f>
        <v>15</v>
      </c>
      <c r="D39" s="23" t="n">
        <f aca="false">SUM(D29:D38)</f>
        <v>24</v>
      </c>
    </row>
    <row r="41" customFormat="false" ht="15" hidden="false" customHeight="true" outlineLevel="0" collapsed="false">
      <c r="A41" s="11" t="s">
        <v>114</v>
      </c>
      <c r="B41" s="11"/>
      <c r="C41" s="11"/>
      <c r="D41" s="11"/>
      <c r="E41" s="11"/>
    </row>
    <row r="42" customFormat="false" ht="15" hidden="false" customHeight="true" outlineLevel="0" collapsed="false">
      <c r="A42" s="12" t="s">
        <v>115</v>
      </c>
      <c r="B42" s="16" t="n">
        <v>200000</v>
      </c>
      <c r="C42" s="16" t="n">
        <v>400000</v>
      </c>
      <c r="D42" s="16" t="n">
        <v>500000</v>
      </c>
      <c r="E42" s="14" t="s">
        <v>116</v>
      </c>
    </row>
    <row r="43" customFormat="false" ht="15" hidden="false" customHeight="true" outlineLevel="0" collapsed="false">
      <c r="A43" s="12" t="s">
        <v>117</v>
      </c>
      <c r="B43" s="16" t="n">
        <v>350000</v>
      </c>
      <c r="C43" s="16" t="n">
        <v>380000</v>
      </c>
      <c r="D43" s="16" t="n">
        <v>400000</v>
      </c>
      <c r="E43" s="14" t="s">
        <v>118</v>
      </c>
    </row>
    <row r="44" customFormat="false" ht="15" hidden="false" customHeight="true" outlineLevel="0" collapsed="false">
      <c r="A44" s="12" t="s">
        <v>119</v>
      </c>
      <c r="B44" s="16" t="n">
        <v>400000</v>
      </c>
      <c r="C44" s="16" t="n">
        <v>450000</v>
      </c>
      <c r="D44" s="16" t="n">
        <v>500000</v>
      </c>
      <c r="E44" s="14" t="s">
        <v>120</v>
      </c>
    </row>
    <row r="45" customFormat="false" ht="15" hidden="false" customHeight="true" outlineLevel="0" collapsed="false">
      <c r="A45" s="12" t="s">
        <v>121</v>
      </c>
      <c r="B45" s="16" t="n">
        <v>220000</v>
      </c>
      <c r="C45" s="16" t="n">
        <v>250000</v>
      </c>
      <c r="D45" s="16" t="n">
        <v>280000</v>
      </c>
      <c r="E45" s="14" t="s">
        <v>122</v>
      </c>
    </row>
    <row r="46" customFormat="false" ht="15" hidden="false" customHeight="true" outlineLevel="0" collapsed="false">
      <c r="A46" s="12" t="s">
        <v>101</v>
      </c>
      <c r="B46" s="16" t="n">
        <v>200000</v>
      </c>
      <c r="C46" s="16" t="n">
        <v>250000</v>
      </c>
      <c r="D46" s="16" t="n">
        <v>280000</v>
      </c>
      <c r="E46" s="14" t="s">
        <v>123</v>
      </c>
    </row>
    <row r="47" customFormat="false" ht="15" hidden="false" customHeight="true" outlineLevel="0" collapsed="false">
      <c r="A47" s="12" t="s">
        <v>124</v>
      </c>
      <c r="B47" s="16" t="n">
        <v>150000</v>
      </c>
      <c r="C47" s="16" t="n">
        <v>180000</v>
      </c>
      <c r="D47" s="16" t="n">
        <v>220000</v>
      </c>
      <c r="E47" s="14" t="s">
        <v>125</v>
      </c>
    </row>
    <row r="48" customFormat="false" ht="15" hidden="false" customHeight="true" outlineLevel="0" collapsed="false">
      <c r="A48" s="12" t="s">
        <v>105</v>
      </c>
      <c r="B48" s="16" t="n">
        <v>220000</v>
      </c>
      <c r="C48" s="16" t="n">
        <v>250000</v>
      </c>
      <c r="D48" s="16" t="n">
        <v>270000</v>
      </c>
      <c r="E48" s="14" t="s">
        <v>126</v>
      </c>
    </row>
    <row r="49" customFormat="false" ht="15" hidden="false" customHeight="true" outlineLevel="0" collapsed="false">
      <c r="A49" s="12" t="s">
        <v>127</v>
      </c>
      <c r="B49" s="16" t="n">
        <v>280000</v>
      </c>
      <c r="C49" s="16" t="n">
        <v>320000</v>
      </c>
      <c r="D49" s="16" t="n">
        <v>350000</v>
      </c>
      <c r="E49" s="14" t="s">
        <v>128</v>
      </c>
    </row>
    <row r="50" customFormat="false" ht="15" hidden="false" customHeight="true" outlineLevel="0" collapsed="false">
      <c r="A50" s="12" t="s">
        <v>109</v>
      </c>
      <c r="B50" s="16" t="n">
        <v>250000</v>
      </c>
      <c r="C50" s="16" t="n">
        <v>280000</v>
      </c>
      <c r="D50" s="16" t="n">
        <v>300000</v>
      </c>
      <c r="E50" s="14"/>
    </row>
    <row r="51" customFormat="false" ht="15" hidden="false" customHeight="true" outlineLevel="0" collapsed="false">
      <c r="A51" s="12" t="s">
        <v>111</v>
      </c>
      <c r="B51" s="16" t="n">
        <v>0</v>
      </c>
      <c r="C51" s="16" t="n">
        <v>0</v>
      </c>
      <c r="D51" s="16" t="n">
        <v>250000</v>
      </c>
      <c r="E51" s="14" t="s">
        <v>129</v>
      </c>
    </row>
    <row r="52" customFormat="false" ht="15" hidden="false" customHeight="true" outlineLevel="0" collapsed="false">
      <c r="A52" s="12" t="s">
        <v>130</v>
      </c>
      <c r="B52" s="24" t="n">
        <v>1.3</v>
      </c>
      <c r="C52" s="24" t="n">
        <v>1.3</v>
      </c>
      <c r="D52" s="24" t="n">
        <v>1.3</v>
      </c>
      <c r="E52" s="14" t="s">
        <v>131</v>
      </c>
    </row>
    <row r="54" customFormat="false" ht="15" hidden="false" customHeight="true" outlineLevel="0" collapsed="false">
      <c r="A54" s="11" t="s">
        <v>132</v>
      </c>
      <c r="B54" s="11"/>
      <c r="C54" s="11"/>
      <c r="D54" s="11"/>
      <c r="E54" s="11"/>
    </row>
    <row r="55" customFormat="false" ht="15" hidden="false" customHeight="true" outlineLevel="0" collapsed="false">
      <c r="A55" s="12" t="s">
        <v>133</v>
      </c>
      <c r="B55" s="13" t="n">
        <v>12000000</v>
      </c>
      <c r="C55" s="13" t="n">
        <v>60000000</v>
      </c>
      <c r="D55" s="13" t="n">
        <v>140000000</v>
      </c>
      <c r="E55" s="14" t="s">
        <v>134</v>
      </c>
    </row>
    <row r="56" customFormat="false" ht="15" hidden="false" customHeight="true" outlineLevel="0" collapsed="false">
      <c r="A56" s="12" t="s">
        <v>135</v>
      </c>
      <c r="B56" s="15" t="n">
        <v>0.3</v>
      </c>
      <c r="C56" s="15" t="n">
        <v>0.35</v>
      </c>
      <c r="D56" s="15" t="n">
        <v>0.3</v>
      </c>
      <c r="E56" s="14" t="s">
        <v>136</v>
      </c>
    </row>
    <row r="57" customFormat="false" ht="15" hidden="false" customHeight="true" outlineLevel="0" collapsed="false">
      <c r="A57" s="12" t="s">
        <v>137</v>
      </c>
      <c r="B57" s="15" t="n">
        <v>0.2</v>
      </c>
      <c r="C57" s="15" t="n">
        <v>0.3</v>
      </c>
      <c r="D57" s="15" t="n">
        <v>0.3</v>
      </c>
      <c r="E57" s="14" t="s">
        <v>138</v>
      </c>
    </row>
    <row r="58" customFormat="false" ht="15" hidden="false" customHeight="true" outlineLevel="0" collapsed="false">
      <c r="A58" s="12" t="s">
        <v>139</v>
      </c>
      <c r="B58" s="15" t="n">
        <v>0.3</v>
      </c>
      <c r="C58" s="15" t="n">
        <v>0.2</v>
      </c>
      <c r="D58" s="15" t="n">
        <v>0.2</v>
      </c>
      <c r="E58" s="14" t="s">
        <v>140</v>
      </c>
    </row>
    <row r="59" customFormat="false" ht="15" hidden="false" customHeight="true" outlineLevel="0" collapsed="false">
      <c r="A59" s="12" t="s">
        <v>141</v>
      </c>
      <c r="B59" s="15" t="n">
        <v>0.1</v>
      </c>
      <c r="C59" s="15" t="n">
        <v>0.1</v>
      </c>
      <c r="D59" s="15" t="n">
        <v>0.15</v>
      </c>
      <c r="E59" s="14"/>
    </row>
    <row r="60" customFormat="false" ht="15" hidden="false" customHeight="true" outlineLevel="0" collapsed="false">
      <c r="A60" s="12" t="s">
        <v>142</v>
      </c>
      <c r="B60" s="15" t="n">
        <v>0.1</v>
      </c>
      <c r="C60" s="15" t="n">
        <v>0.05</v>
      </c>
      <c r="D60" s="15" t="n">
        <v>0.05</v>
      </c>
      <c r="E60" s="14"/>
    </row>
    <row r="62" customFormat="false" ht="15" hidden="false" customHeight="true" outlineLevel="0" collapsed="false">
      <c r="A62" s="11" t="s">
        <v>143</v>
      </c>
      <c r="B62" s="11"/>
      <c r="C62" s="11"/>
      <c r="D62" s="11"/>
      <c r="E62" s="11"/>
    </row>
    <row r="63" customFormat="false" ht="15" hidden="false" customHeight="true" outlineLevel="0" collapsed="false">
      <c r="A63" s="12" t="s">
        <v>144</v>
      </c>
      <c r="B63" s="16" t="n">
        <v>2400000</v>
      </c>
      <c r="C63" s="16" t="n">
        <v>6000000</v>
      </c>
      <c r="D63" s="16" t="n">
        <v>12000000</v>
      </c>
      <c r="E63" s="14" t="s">
        <v>145</v>
      </c>
    </row>
    <row r="64" customFormat="false" ht="15" hidden="false" customHeight="true" outlineLevel="0" collapsed="false">
      <c r="A64" s="12" t="s">
        <v>146</v>
      </c>
      <c r="B64" s="16" t="n">
        <v>1200000</v>
      </c>
      <c r="C64" s="16" t="n">
        <v>3000000</v>
      </c>
      <c r="D64" s="16" t="n">
        <v>5000000</v>
      </c>
      <c r="E64" s="14" t="s">
        <v>147</v>
      </c>
    </row>
    <row r="65" customFormat="false" ht="15" hidden="false" customHeight="true" outlineLevel="0" collapsed="false">
      <c r="A65" s="12" t="s">
        <v>148</v>
      </c>
      <c r="B65" s="16" t="n">
        <v>600000</v>
      </c>
      <c r="C65" s="16" t="n">
        <v>4800000</v>
      </c>
      <c r="D65" s="16" t="n">
        <v>9600000</v>
      </c>
      <c r="E65" s="14" t="s">
        <v>149</v>
      </c>
    </row>
    <row r="66" customFormat="false" ht="15" hidden="false" customHeight="true" outlineLevel="0" collapsed="false">
      <c r="A66" s="12" t="s">
        <v>150</v>
      </c>
      <c r="B66" s="16" t="n">
        <v>1500000</v>
      </c>
      <c r="C66" s="16" t="n">
        <v>4000000</v>
      </c>
      <c r="D66" s="16" t="n">
        <v>8000000</v>
      </c>
      <c r="E66" s="14" t="s">
        <v>151</v>
      </c>
    </row>
    <row r="67" customFormat="false" ht="15" hidden="false" customHeight="true" outlineLevel="0" collapsed="false">
      <c r="A67" s="12" t="s">
        <v>152</v>
      </c>
      <c r="B67" s="16" t="n">
        <v>600000</v>
      </c>
      <c r="C67" s="16" t="n">
        <v>1200000</v>
      </c>
      <c r="D67" s="16" t="n">
        <v>2400000</v>
      </c>
      <c r="E67" s="14"/>
    </row>
    <row r="68" customFormat="false" ht="15" hidden="false" customHeight="true" outlineLevel="0" collapsed="false">
      <c r="A68" s="12" t="s">
        <v>153</v>
      </c>
      <c r="B68" s="16" t="n">
        <v>1000000</v>
      </c>
      <c r="C68" s="16" t="n">
        <v>3000000</v>
      </c>
      <c r="D68" s="16" t="n">
        <v>6000000</v>
      </c>
      <c r="E68" s="14" t="s">
        <v>154</v>
      </c>
    </row>
    <row r="70" customFormat="false" ht="15" hidden="false" customHeight="true" outlineLevel="0" collapsed="false">
      <c r="A70" s="11" t="s">
        <v>155</v>
      </c>
      <c r="B70" s="11"/>
      <c r="C70" s="11"/>
      <c r="D70" s="11"/>
      <c r="E70" s="11"/>
    </row>
    <row r="71" customFormat="false" ht="15" hidden="false" customHeight="true" outlineLevel="0" collapsed="false">
      <c r="A71" s="12" t="s">
        <v>156</v>
      </c>
      <c r="B71" s="25" t="n">
        <f aca="false">B18*B19*B20*B21*B22</f>
        <v>0.000726</v>
      </c>
      <c r="C71" s="25" t="n">
        <f aca="false">C18*C19*C20*C21*C22</f>
        <v>0.001449</v>
      </c>
      <c r="D71" s="25" t="n">
        <f aca="false">D18*D19*D20*D21*D22</f>
        <v>0.0022477</v>
      </c>
      <c r="E71" s="14" t="s">
        <v>157</v>
      </c>
    </row>
    <row r="72" customFormat="false" ht="15" hidden="false" customHeight="true" outlineLevel="0" collapsed="false">
      <c r="A72" s="12" t="s">
        <v>158</v>
      </c>
      <c r="B72" s="26" t="n">
        <f aca="false">ROUND(B17*B71,0)</f>
        <v>15</v>
      </c>
      <c r="C72" s="26" t="n">
        <f aca="false">ROUND(C17*C71,0)</f>
        <v>58</v>
      </c>
      <c r="D72" s="26" t="n">
        <f aca="false">ROUND(D17*D71,0)</f>
        <v>157</v>
      </c>
      <c r="E72" s="14" t="s">
        <v>159</v>
      </c>
    </row>
    <row r="73" customFormat="false" ht="15" hidden="false" customHeight="true" outlineLevel="0" collapsed="false">
      <c r="A73" s="12" t="s">
        <v>160</v>
      </c>
      <c r="B73" s="17" t="n">
        <f aca="false">B13+B14</f>
        <v>330000</v>
      </c>
      <c r="C73" s="17" t="n">
        <f aca="false">C13+C14</f>
        <v>360000</v>
      </c>
      <c r="D73" s="17" t="n">
        <f aca="false">D13+D14</f>
        <v>380000</v>
      </c>
      <c r="E73" s="14" t="s">
        <v>161</v>
      </c>
    </row>
  </sheetData>
  <mergeCells count="10">
    <mergeCell ref="A1:E1"/>
    <mergeCell ref="A4:E4"/>
    <mergeCell ref="A9:E9"/>
    <mergeCell ref="A16:E16"/>
    <mergeCell ref="A24:E24"/>
    <mergeCell ref="A28:E28"/>
    <mergeCell ref="A41:E41"/>
    <mergeCell ref="A54:E54"/>
    <mergeCell ref="A62:E62"/>
    <mergeCell ref="A70:E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13" min="2" style="1" width="7"/>
    <col collapsed="false" customWidth="true" hidden="false" outlineLevel="0" max="14" min="14" style="1" width="8"/>
  </cols>
  <sheetData>
    <row r="1" customFormat="false" ht="17.25" hidden="false" customHeight="true" outlineLevel="0" collapsed="false">
      <c r="A1" s="2" t="s">
        <v>162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27" t="s">
        <v>163</v>
      </c>
      <c r="B3" s="27" t="s">
        <v>164</v>
      </c>
      <c r="C3" s="27" t="s">
        <v>165</v>
      </c>
      <c r="D3" s="27" t="s">
        <v>166</v>
      </c>
      <c r="E3" s="27" t="s">
        <v>167</v>
      </c>
      <c r="F3" s="27" t="s">
        <v>168</v>
      </c>
      <c r="G3" s="27" t="s">
        <v>169</v>
      </c>
      <c r="H3" s="27" t="s">
        <v>170</v>
      </c>
      <c r="I3" s="27" t="s">
        <v>171</v>
      </c>
      <c r="J3" s="27" t="s">
        <v>172</v>
      </c>
      <c r="K3" s="27" t="s">
        <v>173</v>
      </c>
      <c r="L3" s="27" t="s">
        <v>174</v>
      </c>
      <c r="M3" s="27" t="s">
        <v>175</v>
      </c>
      <c r="N3" s="27" t="s">
        <v>176</v>
      </c>
    </row>
    <row r="4" customFormat="false" ht="15" hidden="false" customHeight="true" outlineLevel="0" collapsed="false">
      <c r="A4" s="28" t="s">
        <v>34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customFormat="false" ht="15" hidden="false" customHeight="true" outlineLevel="0" collapsed="false">
      <c r="A5" s="12" t="s">
        <v>93</v>
      </c>
      <c r="B5" s="20" t="n">
        <v>2</v>
      </c>
      <c r="C5" s="20" t="n">
        <v>2</v>
      </c>
      <c r="D5" s="20" t="n">
        <v>2</v>
      </c>
      <c r="E5" s="20" t="n">
        <v>2</v>
      </c>
      <c r="F5" s="20" t="n">
        <v>2</v>
      </c>
      <c r="G5" s="20" t="n">
        <v>2</v>
      </c>
      <c r="H5" s="20" t="n">
        <v>2</v>
      </c>
      <c r="I5" s="20" t="n">
        <v>2</v>
      </c>
      <c r="J5" s="20" t="n">
        <v>2</v>
      </c>
      <c r="K5" s="20" t="n">
        <v>2</v>
      </c>
      <c r="L5" s="20" t="n">
        <v>2</v>
      </c>
      <c r="M5" s="20" t="n">
        <v>2</v>
      </c>
      <c r="N5" s="23" t="n">
        <f aca="false">M5</f>
        <v>2</v>
      </c>
    </row>
    <row r="6" customFormat="false" ht="15" hidden="false" customHeight="true" outlineLevel="0" collapsed="false">
      <c r="A6" s="12" t="s">
        <v>117</v>
      </c>
      <c r="B6" s="20"/>
      <c r="C6" s="20"/>
      <c r="D6" s="20"/>
      <c r="E6" s="20"/>
      <c r="F6" s="20"/>
      <c r="G6" s="20"/>
      <c r="H6" s="20"/>
      <c r="I6" s="20" t="n">
        <v>1</v>
      </c>
      <c r="J6" s="20" t="n">
        <v>1</v>
      </c>
      <c r="K6" s="20" t="n">
        <v>1</v>
      </c>
      <c r="L6" s="20" t="n">
        <v>1</v>
      </c>
      <c r="M6" s="20" t="n">
        <v>1</v>
      </c>
      <c r="N6" s="23" t="n">
        <f aca="false">M6</f>
        <v>1</v>
      </c>
    </row>
    <row r="7" customFormat="false" ht="15" hidden="false" customHeight="true" outlineLevel="0" collapsed="false">
      <c r="A7" s="12" t="s">
        <v>177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3" t="n">
        <f aca="false">M7</f>
        <v>0</v>
      </c>
    </row>
    <row r="8" customFormat="false" ht="15" hidden="false" customHeight="true" outlineLevel="0" collapsed="false">
      <c r="A8" s="12" t="s">
        <v>121</v>
      </c>
      <c r="B8" s="20"/>
      <c r="C8" s="20" t="n">
        <v>1</v>
      </c>
      <c r="D8" s="20" t="n">
        <v>1</v>
      </c>
      <c r="E8" s="20" t="n">
        <v>1</v>
      </c>
      <c r="F8" s="20" t="n">
        <v>1</v>
      </c>
      <c r="G8" s="20" t="n">
        <v>1</v>
      </c>
      <c r="H8" s="20" t="n">
        <v>1</v>
      </c>
      <c r="I8" s="20" t="n">
        <v>1</v>
      </c>
      <c r="J8" s="20" t="n">
        <v>1</v>
      </c>
      <c r="K8" s="20" t="n">
        <v>1</v>
      </c>
      <c r="L8" s="20" t="n">
        <v>1</v>
      </c>
      <c r="M8" s="20" t="n">
        <v>1</v>
      </c>
      <c r="N8" s="23" t="n">
        <f aca="false">M8</f>
        <v>1</v>
      </c>
    </row>
    <row r="9" customFormat="false" ht="15" hidden="false" customHeight="true" outlineLevel="0" collapsed="false">
      <c r="A9" s="12" t="s">
        <v>178</v>
      </c>
      <c r="B9" s="20"/>
      <c r="C9" s="20"/>
      <c r="D9" s="20" t="n">
        <v>1</v>
      </c>
      <c r="E9" s="20" t="n">
        <v>1</v>
      </c>
      <c r="F9" s="20" t="n">
        <v>1</v>
      </c>
      <c r="G9" s="20" t="n">
        <v>1</v>
      </c>
      <c r="H9" s="20" t="n">
        <v>1</v>
      </c>
      <c r="I9" s="20" t="n">
        <v>1</v>
      </c>
      <c r="J9" s="20" t="n">
        <v>1</v>
      </c>
      <c r="K9" s="20" t="n">
        <v>1</v>
      </c>
      <c r="L9" s="20" t="n">
        <v>1</v>
      </c>
      <c r="M9" s="20" t="n">
        <v>1</v>
      </c>
      <c r="N9" s="23" t="n">
        <f aca="false">M9</f>
        <v>1</v>
      </c>
    </row>
    <row r="10" customFormat="false" ht="15" hidden="false" customHeight="true" outlineLevel="0" collapsed="false">
      <c r="A10" s="12" t="s">
        <v>124</v>
      </c>
      <c r="B10" s="20"/>
      <c r="C10" s="20"/>
      <c r="D10" s="20"/>
      <c r="E10" s="20"/>
      <c r="F10" s="20"/>
      <c r="G10" s="20" t="n">
        <v>1</v>
      </c>
      <c r="H10" s="20" t="n">
        <v>1</v>
      </c>
      <c r="I10" s="20" t="n">
        <v>1</v>
      </c>
      <c r="J10" s="20" t="n">
        <v>1</v>
      </c>
      <c r="K10" s="20" t="n">
        <v>1</v>
      </c>
      <c r="L10" s="20" t="n">
        <v>1</v>
      </c>
      <c r="M10" s="20" t="n">
        <v>1</v>
      </c>
      <c r="N10" s="23" t="n">
        <f aca="false">M10</f>
        <v>1</v>
      </c>
    </row>
    <row r="11" customFormat="false" ht="15" hidden="false" customHeight="true" outlineLevel="0" collapsed="false">
      <c r="A11" s="12" t="s">
        <v>105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3" t="n">
        <f aca="false">M11</f>
        <v>0</v>
      </c>
    </row>
    <row r="12" customFormat="false" ht="15" hidden="false" customHeight="true" outlineLevel="0" collapsed="false">
      <c r="A12" s="12" t="s">
        <v>127</v>
      </c>
      <c r="B12" s="20" t="n">
        <v>1</v>
      </c>
      <c r="C12" s="20" t="n">
        <v>1</v>
      </c>
      <c r="D12" s="20" t="n">
        <v>1</v>
      </c>
      <c r="E12" s="20" t="n">
        <v>1</v>
      </c>
      <c r="F12" s="20" t="n">
        <v>1</v>
      </c>
      <c r="G12" s="20" t="n">
        <v>1</v>
      </c>
      <c r="H12" s="20" t="n">
        <v>1</v>
      </c>
      <c r="I12" s="20" t="n">
        <v>1</v>
      </c>
      <c r="J12" s="20" t="n">
        <v>1</v>
      </c>
      <c r="K12" s="20" t="n">
        <v>1</v>
      </c>
      <c r="L12" s="20" t="n">
        <v>1</v>
      </c>
      <c r="M12" s="20" t="n">
        <v>1</v>
      </c>
      <c r="N12" s="23" t="n">
        <f aca="false">M12</f>
        <v>1</v>
      </c>
    </row>
    <row r="13" customFormat="false" ht="15" hidden="false" customHeight="true" outlineLevel="0" collapsed="false">
      <c r="A13" s="12" t="s">
        <v>109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3" t="n">
        <f aca="false">M13</f>
        <v>0</v>
      </c>
    </row>
    <row r="14" customFormat="false" ht="15" hidden="false" customHeight="true" outlineLevel="0" collapsed="false">
      <c r="A14" s="12" t="s">
        <v>111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3" t="n">
        <f aca="false">M14</f>
        <v>0</v>
      </c>
    </row>
    <row r="15" customFormat="false" ht="15" hidden="false" customHeight="true" outlineLevel="0" collapsed="false">
      <c r="A15" s="29" t="s">
        <v>179</v>
      </c>
      <c r="B15" s="30" t="n">
        <f aca="false">SUM(B5:B14)</f>
        <v>3</v>
      </c>
      <c r="C15" s="30" t="n">
        <f aca="false">SUM(C5:C14)</f>
        <v>4</v>
      </c>
      <c r="D15" s="30" t="n">
        <f aca="false">SUM(D5:D14)</f>
        <v>5</v>
      </c>
      <c r="E15" s="30" t="n">
        <f aca="false">SUM(E5:E14)</f>
        <v>5</v>
      </c>
      <c r="F15" s="30" t="n">
        <f aca="false">SUM(F5:F14)</f>
        <v>5</v>
      </c>
      <c r="G15" s="30" t="n">
        <f aca="false">SUM(G5:G14)</f>
        <v>6</v>
      </c>
      <c r="H15" s="30" t="n">
        <f aca="false">SUM(H5:H14)</f>
        <v>6</v>
      </c>
      <c r="I15" s="30" t="n">
        <f aca="false">SUM(I5:I14)</f>
        <v>7</v>
      </c>
      <c r="J15" s="30" t="n">
        <f aca="false">SUM(J5:J14)</f>
        <v>7</v>
      </c>
      <c r="K15" s="30" t="n">
        <f aca="false">SUM(K5:K14)</f>
        <v>7</v>
      </c>
      <c r="L15" s="30" t="n">
        <f aca="false">SUM(L5:L14)</f>
        <v>7</v>
      </c>
      <c r="M15" s="30" t="n">
        <f aca="false">SUM(M5:M14)</f>
        <v>7</v>
      </c>
      <c r="N15" s="30" t="n">
        <f aca="false">M15</f>
        <v>7</v>
      </c>
    </row>
    <row r="17" customFormat="false" ht="15" hidden="false" customHeight="true" outlineLevel="0" collapsed="false">
      <c r="A17" s="31" t="s">
        <v>36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</row>
    <row r="18" customFormat="false" ht="15" hidden="false" customHeight="true" outlineLevel="0" collapsed="false">
      <c r="A18" s="12" t="s">
        <v>93</v>
      </c>
      <c r="B18" s="20" t="n">
        <v>2</v>
      </c>
      <c r="C18" s="20" t="n">
        <v>2</v>
      </c>
      <c r="D18" s="20" t="n">
        <v>2</v>
      </c>
      <c r="E18" s="20" t="n">
        <v>2</v>
      </c>
      <c r="F18" s="20" t="n">
        <v>2</v>
      </c>
      <c r="G18" s="20" t="n">
        <v>2</v>
      </c>
      <c r="H18" s="20" t="n">
        <v>2</v>
      </c>
      <c r="I18" s="20" t="n">
        <v>2</v>
      </c>
      <c r="J18" s="20" t="n">
        <v>2</v>
      </c>
      <c r="K18" s="20" t="n">
        <v>2</v>
      </c>
      <c r="L18" s="20" t="n">
        <v>2</v>
      </c>
      <c r="M18" s="20" t="n">
        <v>2</v>
      </c>
      <c r="N18" s="23" t="n">
        <f aca="false">M18</f>
        <v>2</v>
      </c>
    </row>
    <row r="19" customFormat="false" ht="15" hidden="false" customHeight="true" outlineLevel="0" collapsed="false">
      <c r="A19" s="12" t="s">
        <v>117</v>
      </c>
      <c r="B19" s="20"/>
      <c r="C19" s="20" t="n">
        <v>1</v>
      </c>
      <c r="D19" s="20" t="n">
        <v>1</v>
      </c>
      <c r="E19" s="20" t="n">
        <v>1</v>
      </c>
      <c r="F19" s="20" t="n">
        <v>2</v>
      </c>
      <c r="G19" s="20" t="n">
        <v>2</v>
      </c>
      <c r="H19" s="20" t="n">
        <v>2</v>
      </c>
      <c r="I19" s="20" t="n">
        <v>2</v>
      </c>
      <c r="J19" s="20" t="n">
        <v>2</v>
      </c>
      <c r="K19" s="20" t="n">
        <v>2</v>
      </c>
      <c r="L19" s="20" t="n">
        <v>2</v>
      </c>
      <c r="M19" s="20" t="n">
        <v>2</v>
      </c>
      <c r="N19" s="23" t="n">
        <f aca="false">M19</f>
        <v>2</v>
      </c>
    </row>
    <row r="20" customFormat="false" ht="15" hidden="false" customHeight="true" outlineLevel="0" collapsed="false">
      <c r="A20" s="12" t="s">
        <v>177</v>
      </c>
      <c r="B20" s="20"/>
      <c r="C20" s="20"/>
      <c r="D20" s="20" t="n">
        <v>1</v>
      </c>
      <c r="E20" s="20" t="n">
        <v>1</v>
      </c>
      <c r="F20" s="20" t="n">
        <v>1</v>
      </c>
      <c r="G20" s="20" t="n">
        <v>1</v>
      </c>
      <c r="H20" s="20" t="n">
        <v>1</v>
      </c>
      <c r="I20" s="20" t="n">
        <v>1</v>
      </c>
      <c r="J20" s="20" t="n">
        <v>1</v>
      </c>
      <c r="K20" s="20" t="n">
        <v>1</v>
      </c>
      <c r="L20" s="20" t="n">
        <v>1</v>
      </c>
      <c r="M20" s="20" t="n">
        <v>1</v>
      </c>
      <c r="N20" s="23" t="n">
        <f aca="false">M20</f>
        <v>1</v>
      </c>
    </row>
    <row r="21" customFormat="false" ht="15" hidden="false" customHeight="true" outlineLevel="0" collapsed="false">
      <c r="A21" s="12" t="s">
        <v>121</v>
      </c>
      <c r="B21" s="20" t="n">
        <v>1</v>
      </c>
      <c r="C21" s="20" t="n">
        <v>1</v>
      </c>
      <c r="D21" s="20" t="n">
        <v>2</v>
      </c>
      <c r="E21" s="20" t="n">
        <v>2</v>
      </c>
      <c r="F21" s="20" t="n">
        <v>2</v>
      </c>
      <c r="G21" s="20" t="n">
        <v>2</v>
      </c>
      <c r="H21" s="20" t="n">
        <v>3</v>
      </c>
      <c r="I21" s="20" t="n">
        <v>3</v>
      </c>
      <c r="J21" s="20" t="n">
        <v>3</v>
      </c>
      <c r="K21" s="20" t="n">
        <v>3</v>
      </c>
      <c r="L21" s="20" t="n">
        <v>3</v>
      </c>
      <c r="M21" s="20" t="n">
        <v>3</v>
      </c>
      <c r="N21" s="23" t="n">
        <f aca="false">M21</f>
        <v>3</v>
      </c>
    </row>
    <row r="22" customFormat="false" ht="15" hidden="false" customHeight="true" outlineLevel="0" collapsed="false">
      <c r="A22" s="12" t="s">
        <v>178</v>
      </c>
      <c r="B22" s="20"/>
      <c r="C22" s="20" t="n">
        <v>1</v>
      </c>
      <c r="D22" s="20" t="n">
        <v>1</v>
      </c>
      <c r="E22" s="20" t="n">
        <v>1</v>
      </c>
      <c r="F22" s="20" t="n">
        <v>1</v>
      </c>
      <c r="G22" s="20" t="n">
        <v>2</v>
      </c>
      <c r="H22" s="20" t="n">
        <v>2</v>
      </c>
      <c r="I22" s="20" t="n">
        <v>2</v>
      </c>
      <c r="J22" s="20" t="n">
        <v>2</v>
      </c>
      <c r="K22" s="20" t="n">
        <v>2</v>
      </c>
      <c r="L22" s="20" t="n">
        <v>2</v>
      </c>
      <c r="M22" s="20" t="n">
        <v>2</v>
      </c>
      <c r="N22" s="23" t="n">
        <f aca="false">M22</f>
        <v>2</v>
      </c>
    </row>
    <row r="23" customFormat="false" ht="15" hidden="false" customHeight="true" outlineLevel="0" collapsed="false">
      <c r="A23" s="12" t="s">
        <v>124</v>
      </c>
      <c r="B23" s="20"/>
      <c r="C23" s="20"/>
      <c r="D23" s="20"/>
      <c r="E23" s="20" t="n">
        <v>1</v>
      </c>
      <c r="F23" s="20" t="n">
        <v>1</v>
      </c>
      <c r="G23" s="20" t="n">
        <v>1</v>
      </c>
      <c r="H23" s="20" t="n">
        <v>1</v>
      </c>
      <c r="I23" s="20" t="n">
        <v>1</v>
      </c>
      <c r="J23" s="20" t="n">
        <v>2</v>
      </c>
      <c r="K23" s="20" t="n">
        <v>2</v>
      </c>
      <c r="L23" s="20" t="n">
        <v>2</v>
      </c>
      <c r="M23" s="20" t="n">
        <v>2</v>
      </c>
      <c r="N23" s="23" t="n">
        <f aca="false">M23</f>
        <v>2</v>
      </c>
    </row>
    <row r="24" customFormat="false" ht="15" hidden="false" customHeight="true" outlineLevel="0" collapsed="false">
      <c r="A24" s="12" t="s">
        <v>105</v>
      </c>
      <c r="B24" s="20"/>
      <c r="C24" s="20" t="n">
        <v>1</v>
      </c>
      <c r="D24" s="20" t="n">
        <v>1</v>
      </c>
      <c r="E24" s="20" t="n">
        <v>1</v>
      </c>
      <c r="F24" s="20" t="n">
        <v>1</v>
      </c>
      <c r="G24" s="20" t="n">
        <v>1</v>
      </c>
      <c r="H24" s="20" t="n">
        <v>1</v>
      </c>
      <c r="I24" s="20" t="n">
        <v>1</v>
      </c>
      <c r="J24" s="20" t="n">
        <v>1</v>
      </c>
      <c r="K24" s="20" t="n">
        <v>1</v>
      </c>
      <c r="L24" s="20" t="n">
        <v>1</v>
      </c>
      <c r="M24" s="20" t="n">
        <v>1</v>
      </c>
      <c r="N24" s="23" t="n">
        <f aca="false">M24</f>
        <v>1</v>
      </c>
    </row>
    <row r="25" customFormat="false" ht="15" hidden="false" customHeight="true" outlineLevel="0" collapsed="false">
      <c r="A25" s="12" t="s">
        <v>127</v>
      </c>
      <c r="B25" s="20" t="n">
        <v>1</v>
      </c>
      <c r="C25" s="20" t="n">
        <v>1</v>
      </c>
      <c r="D25" s="20" t="n">
        <v>1</v>
      </c>
      <c r="E25" s="20" t="n">
        <v>1</v>
      </c>
      <c r="F25" s="20" t="n">
        <v>1</v>
      </c>
      <c r="G25" s="20" t="n">
        <v>1</v>
      </c>
      <c r="H25" s="20" t="n">
        <v>1</v>
      </c>
      <c r="I25" s="20" t="n">
        <v>1</v>
      </c>
      <c r="J25" s="20" t="n">
        <v>1</v>
      </c>
      <c r="K25" s="20" t="n">
        <v>1</v>
      </c>
      <c r="L25" s="20" t="n">
        <v>1</v>
      </c>
      <c r="M25" s="20" t="n">
        <v>1</v>
      </c>
      <c r="N25" s="23" t="n">
        <f aca="false">M25</f>
        <v>1</v>
      </c>
    </row>
    <row r="26" customFormat="false" ht="15" hidden="false" customHeight="true" outlineLevel="0" collapsed="false">
      <c r="A26" s="12" t="s">
        <v>109</v>
      </c>
      <c r="B26" s="20"/>
      <c r="C26" s="20"/>
      <c r="D26" s="20"/>
      <c r="E26" s="20"/>
      <c r="F26" s="20" t="n">
        <v>1</v>
      </c>
      <c r="G26" s="20" t="n">
        <v>1</v>
      </c>
      <c r="H26" s="20" t="n">
        <v>1</v>
      </c>
      <c r="I26" s="20" t="n">
        <v>1</v>
      </c>
      <c r="J26" s="20" t="n">
        <v>1</v>
      </c>
      <c r="K26" s="20" t="n">
        <v>1</v>
      </c>
      <c r="L26" s="20" t="n">
        <v>1</v>
      </c>
      <c r="M26" s="20" t="n">
        <v>1</v>
      </c>
      <c r="N26" s="23" t="n">
        <f aca="false">M26</f>
        <v>1</v>
      </c>
    </row>
    <row r="27" customFormat="false" ht="15" hidden="false" customHeight="true" outlineLevel="0" collapsed="false">
      <c r="A27" s="12" t="s">
        <v>111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3" t="n">
        <f aca="false">M27</f>
        <v>0</v>
      </c>
    </row>
    <row r="28" customFormat="false" ht="15" hidden="false" customHeight="true" outlineLevel="0" collapsed="false">
      <c r="A28" s="32" t="s">
        <v>180</v>
      </c>
      <c r="B28" s="33" t="n">
        <f aca="false">SUM(B18:B27)</f>
        <v>4</v>
      </c>
      <c r="C28" s="33" t="n">
        <f aca="false">SUM(C18:C27)</f>
        <v>7</v>
      </c>
      <c r="D28" s="33" t="n">
        <f aca="false">SUM(D18:D27)</f>
        <v>9</v>
      </c>
      <c r="E28" s="33" t="n">
        <f aca="false">SUM(E18:E27)</f>
        <v>10</v>
      </c>
      <c r="F28" s="33" t="n">
        <f aca="false">SUM(F18:F27)</f>
        <v>12</v>
      </c>
      <c r="G28" s="33" t="n">
        <f aca="false">SUM(G18:G27)</f>
        <v>13</v>
      </c>
      <c r="H28" s="33" t="n">
        <f aca="false">SUM(H18:H27)</f>
        <v>14</v>
      </c>
      <c r="I28" s="33" t="n">
        <f aca="false">SUM(I18:I27)</f>
        <v>14</v>
      </c>
      <c r="J28" s="33" t="n">
        <f aca="false">SUM(J18:J27)</f>
        <v>15</v>
      </c>
      <c r="K28" s="33" t="n">
        <f aca="false">SUM(K18:K27)</f>
        <v>15</v>
      </c>
      <c r="L28" s="33" t="n">
        <f aca="false">SUM(L18:L27)</f>
        <v>15</v>
      </c>
      <c r="M28" s="33" t="n">
        <f aca="false">SUM(M18:M27)</f>
        <v>15</v>
      </c>
      <c r="N28" s="33" t="n">
        <f aca="false">M28</f>
        <v>15</v>
      </c>
    </row>
    <row r="30" customFormat="false" ht="15" hidden="false" customHeight="true" outlineLevel="0" collapsed="false">
      <c r="A30" s="34" t="s">
        <v>38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</row>
    <row r="31" customFormat="false" ht="15" hidden="false" customHeight="true" outlineLevel="0" collapsed="false">
      <c r="A31" s="12" t="s">
        <v>93</v>
      </c>
      <c r="B31" s="20" t="n">
        <v>2</v>
      </c>
      <c r="C31" s="20" t="n">
        <v>2</v>
      </c>
      <c r="D31" s="20" t="n">
        <v>2</v>
      </c>
      <c r="E31" s="20" t="n">
        <v>2</v>
      </c>
      <c r="F31" s="20" t="n">
        <v>2</v>
      </c>
      <c r="G31" s="20" t="n">
        <v>2</v>
      </c>
      <c r="H31" s="20" t="n">
        <v>2</v>
      </c>
      <c r="I31" s="20" t="n">
        <v>2</v>
      </c>
      <c r="J31" s="20" t="n">
        <v>2</v>
      </c>
      <c r="K31" s="20" t="n">
        <v>2</v>
      </c>
      <c r="L31" s="20" t="n">
        <v>2</v>
      </c>
      <c r="M31" s="20" t="n">
        <v>2</v>
      </c>
      <c r="N31" s="23" t="n">
        <f aca="false">M31</f>
        <v>2</v>
      </c>
    </row>
    <row r="32" customFormat="false" ht="15" hidden="false" customHeight="true" outlineLevel="0" collapsed="false">
      <c r="A32" s="12" t="s">
        <v>117</v>
      </c>
      <c r="B32" s="20" t="n">
        <v>1</v>
      </c>
      <c r="C32" s="20" t="n">
        <v>2</v>
      </c>
      <c r="D32" s="20" t="n">
        <v>3</v>
      </c>
      <c r="E32" s="20" t="n">
        <v>3</v>
      </c>
      <c r="F32" s="20" t="n">
        <v>4</v>
      </c>
      <c r="G32" s="20" t="n">
        <v>4</v>
      </c>
      <c r="H32" s="20" t="n">
        <v>5</v>
      </c>
      <c r="I32" s="20" t="n">
        <v>5</v>
      </c>
      <c r="J32" s="20" t="n">
        <v>6</v>
      </c>
      <c r="K32" s="20" t="n">
        <v>6</v>
      </c>
      <c r="L32" s="20" t="n">
        <v>6</v>
      </c>
      <c r="M32" s="20" t="n">
        <v>6</v>
      </c>
      <c r="N32" s="23" t="n">
        <f aca="false">M32</f>
        <v>6</v>
      </c>
    </row>
    <row r="33" customFormat="false" ht="15" hidden="false" customHeight="true" outlineLevel="0" collapsed="false">
      <c r="A33" s="12" t="s">
        <v>177</v>
      </c>
      <c r="B33" s="20"/>
      <c r="C33" s="20" t="n">
        <v>1</v>
      </c>
      <c r="D33" s="20" t="n">
        <v>1</v>
      </c>
      <c r="E33" s="20" t="n">
        <v>1</v>
      </c>
      <c r="F33" s="20" t="n">
        <v>2</v>
      </c>
      <c r="G33" s="20" t="n">
        <v>2</v>
      </c>
      <c r="H33" s="20" t="n">
        <v>2</v>
      </c>
      <c r="I33" s="20" t="n">
        <v>2</v>
      </c>
      <c r="J33" s="20" t="n">
        <v>2</v>
      </c>
      <c r="K33" s="20" t="n">
        <v>2</v>
      </c>
      <c r="L33" s="20" t="n">
        <v>2</v>
      </c>
      <c r="M33" s="20" t="n">
        <v>2</v>
      </c>
      <c r="N33" s="23" t="n">
        <f aca="false">M33</f>
        <v>2</v>
      </c>
    </row>
    <row r="34" customFormat="false" ht="15" hidden="false" customHeight="true" outlineLevel="0" collapsed="false">
      <c r="A34" s="12" t="s">
        <v>121</v>
      </c>
      <c r="B34" s="20" t="n">
        <v>1</v>
      </c>
      <c r="C34" s="20" t="n">
        <v>2</v>
      </c>
      <c r="D34" s="20" t="n">
        <v>2</v>
      </c>
      <c r="E34" s="20" t="n">
        <v>3</v>
      </c>
      <c r="F34" s="20" t="n">
        <v>3</v>
      </c>
      <c r="G34" s="20" t="n">
        <v>3</v>
      </c>
      <c r="H34" s="20" t="n">
        <v>4</v>
      </c>
      <c r="I34" s="20" t="n">
        <v>4</v>
      </c>
      <c r="J34" s="20" t="n">
        <v>4</v>
      </c>
      <c r="K34" s="20" t="n">
        <v>4</v>
      </c>
      <c r="L34" s="20" t="n">
        <v>4</v>
      </c>
      <c r="M34" s="20" t="n">
        <v>4</v>
      </c>
      <c r="N34" s="23" t="n">
        <f aca="false">M34</f>
        <v>4</v>
      </c>
    </row>
    <row r="35" customFormat="false" ht="15" hidden="false" customHeight="true" outlineLevel="0" collapsed="false">
      <c r="A35" s="12" t="s">
        <v>178</v>
      </c>
      <c r="B35" s="20" t="n">
        <v>1</v>
      </c>
      <c r="C35" s="20" t="n">
        <v>1</v>
      </c>
      <c r="D35" s="20" t="n">
        <v>2</v>
      </c>
      <c r="E35" s="20" t="n">
        <v>2</v>
      </c>
      <c r="F35" s="20" t="n">
        <v>2</v>
      </c>
      <c r="G35" s="20" t="n">
        <v>3</v>
      </c>
      <c r="H35" s="20" t="n">
        <v>3</v>
      </c>
      <c r="I35" s="20" t="n">
        <v>3</v>
      </c>
      <c r="J35" s="20" t="n">
        <v>3</v>
      </c>
      <c r="K35" s="20" t="n">
        <v>3</v>
      </c>
      <c r="L35" s="20" t="n">
        <v>3</v>
      </c>
      <c r="M35" s="20" t="n">
        <v>3</v>
      </c>
      <c r="N35" s="23" t="n">
        <f aca="false">M35</f>
        <v>3</v>
      </c>
    </row>
    <row r="36" customFormat="false" ht="15" hidden="false" customHeight="true" outlineLevel="0" collapsed="false">
      <c r="A36" s="12" t="s">
        <v>124</v>
      </c>
      <c r="B36" s="20"/>
      <c r="C36" s="20"/>
      <c r="D36" s="20" t="n">
        <v>1</v>
      </c>
      <c r="E36" s="20" t="n">
        <v>1</v>
      </c>
      <c r="F36" s="20" t="n">
        <v>1</v>
      </c>
      <c r="G36" s="20" t="n">
        <v>2</v>
      </c>
      <c r="H36" s="20" t="n">
        <v>2</v>
      </c>
      <c r="I36" s="20" t="n">
        <v>2</v>
      </c>
      <c r="J36" s="20" t="n">
        <v>3</v>
      </c>
      <c r="K36" s="20" t="n">
        <v>3</v>
      </c>
      <c r="L36" s="20" t="n">
        <v>3</v>
      </c>
      <c r="M36" s="20" t="n">
        <v>3</v>
      </c>
      <c r="N36" s="23" t="n">
        <f aca="false">M36</f>
        <v>3</v>
      </c>
    </row>
    <row r="37" customFormat="false" ht="15" hidden="false" customHeight="true" outlineLevel="0" collapsed="false">
      <c r="A37" s="12" t="s">
        <v>105</v>
      </c>
      <c r="B37" s="20" t="n">
        <v>1</v>
      </c>
      <c r="C37" s="20" t="n">
        <v>1</v>
      </c>
      <c r="D37" s="20" t="n">
        <v>1</v>
      </c>
      <c r="E37" s="20" t="n">
        <v>1</v>
      </c>
      <c r="F37" s="20" t="n">
        <v>1</v>
      </c>
      <c r="G37" s="20" t="n">
        <v>1</v>
      </c>
      <c r="H37" s="20" t="n">
        <v>1</v>
      </c>
      <c r="I37" s="20" t="n">
        <v>1</v>
      </c>
      <c r="J37" s="20" t="n">
        <v>1</v>
      </c>
      <c r="K37" s="20" t="n">
        <v>1</v>
      </c>
      <c r="L37" s="20" t="n">
        <v>1</v>
      </c>
      <c r="M37" s="20" t="n">
        <v>1</v>
      </c>
      <c r="N37" s="23" t="n">
        <f aca="false">M37</f>
        <v>1</v>
      </c>
    </row>
    <row r="38" customFormat="false" ht="15" hidden="false" customHeight="true" outlineLevel="0" collapsed="false">
      <c r="A38" s="12" t="s">
        <v>127</v>
      </c>
      <c r="B38" s="20" t="n">
        <v>1</v>
      </c>
      <c r="C38" s="20" t="n">
        <v>1</v>
      </c>
      <c r="D38" s="20" t="n">
        <v>1</v>
      </c>
      <c r="E38" s="20" t="n">
        <v>1</v>
      </c>
      <c r="F38" s="20" t="n">
        <v>1</v>
      </c>
      <c r="G38" s="20" t="n">
        <v>1</v>
      </c>
      <c r="H38" s="20" t="n">
        <v>1</v>
      </c>
      <c r="I38" s="20" t="n">
        <v>1</v>
      </c>
      <c r="J38" s="20" t="n">
        <v>1</v>
      </c>
      <c r="K38" s="20" t="n">
        <v>1</v>
      </c>
      <c r="L38" s="20" t="n">
        <v>1</v>
      </c>
      <c r="M38" s="20" t="n">
        <v>1</v>
      </c>
      <c r="N38" s="23" t="n">
        <f aca="false">M38</f>
        <v>1</v>
      </c>
    </row>
    <row r="39" customFormat="false" ht="15" hidden="false" customHeight="true" outlineLevel="0" collapsed="false">
      <c r="A39" s="12" t="s">
        <v>109</v>
      </c>
      <c r="B39" s="20"/>
      <c r="C39" s="20"/>
      <c r="D39" s="20" t="n">
        <v>1</v>
      </c>
      <c r="E39" s="20" t="n">
        <v>1</v>
      </c>
      <c r="F39" s="20" t="n">
        <v>1</v>
      </c>
      <c r="G39" s="20" t="n">
        <v>1</v>
      </c>
      <c r="H39" s="20" t="n">
        <v>1</v>
      </c>
      <c r="I39" s="20" t="n">
        <v>1</v>
      </c>
      <c r="J39" s="20" t="n">
        <v>1</v>
      </c>
      <c r="K39" s="20" t="n">
        <v>1</v>
      </c>
      <c r="L39" s="20" t="n">
        <v>1</v>
      </c>
      <c r="M39" s="20" t="n">
        <v>1</v>
      </c>
      <c r="N39" s="23" t="n">
        <f aca="false">M39</f>
        <v>1</v>
      </c>
    </row>
    <row r="40" customFormat="false" ht="15" hidden="false" customHeight="true" outlineLevel="0" collapsed="false">
      <c r="A40" s="12" t="s">
        <v>111</v>
      </c>
      <c r="B40" s="20"/>
      <c r="C40" s="20"/>
      <c r="D40" s="20"/>
      <c r="E40" s="20"/>
      <c r="F40" s="20"/>
      <c r="G40" s="20"/>
      <c r="H40" s="20"/>
      <c r="I40" s="20" t="n">
        <v>1</v>
      </c>
      <c r="J40" s="20" t="n">
        <v>1</v>
      </c>
      <c r="K40" s="20" t="n">
        <v>1</v>
      </c>
      <c r="L40" s="20" t="n">
        <v>1</v>
      </c>
      <c r="M40" s="20" t="n">
        <v>1</v>
      </c>
      <c r="N40" s="23" t="n">
        <f aca="false">M40</f>
        <v>1</v>
      </c>
    </row>
    <row r="41" customFormat="false" ht="15" hidden="false" customHeight="true" outlineLevel="0" collapsed="false">
      <c r="A41" s="35" t="s">
        <v>181</v>
      </c>
      <c r="B41" s="36" t="n">
        <f aca="false">SUM(B31:B40)</f>
        <v>7</v>
      </c>
      <c r="C41" s="36" t="n">
        <f aca="false">SUM(C31:C40)</f>
        <v>10</v>
      </c>
      <c r="D41" s="36" t="n">
        <f aca="false">SUM(D31:D40)</f>
        <v>14</v>
      </c>
      <c r="E41" s="36" t="n">
        <f aca="false">SUM(E31:E40)</f>
        <v>15</v>
      </c>
      <c r="F41" s="36" t="n">
        <f aca="false">SUM(F31:F40)</f>
        <v>17</v>
      </c>
      <c r="G41" s="36" t="n">
        <f aca="false">SUM(G31:G40)</f>
        <v>19</v>
      </c>
      <c r="H41" s="36" t="n">
        <f aca="false">SUM(H31:H40)</f>
        <v>21</v>
      </c>
      <c r="I41" s="36" t="n">
        <f aca="false">SUM(I31:I40)</f>
        <v>22</v>
      </c>
      <c r="J41" s="36" t="n">
        <f aca="false">SUM(J31:J40)</f>
        <v>24</v>
      </c>
      <c r="K41" s="36" t="n">
        <f aca="false">SUM(K31:K40)</f>
        <v>24</v>
      </c>
      <c r="L41" s="36" t="n">
        <f aca="false">SUM(L31:L40)</f>
        <v>24</v>
      </c>
      <c r="M41" s="36" t="n">
        <f aca="false">SUM(M31:M40)</f>
        <v>24</v>
      </c>
      <c r="N41" s="36" t="n">
        <f aca="false">M41</f>
        <v>24</v>
      </c>
    </row>
  </sheetData>
  <mergeCells count="4">
    <mergeCell ref="A1:N1"/>
    <mergeCell ref="A4:N4"/>
    <mergeCell ref="A17:N17"/>
    <mergeCell ref="A30:N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13" min="2" style="1" width="11"/>
    <col collapsed="false" customWidth="true" hidden="false" outlineLevel="0" max="14" min="14" style="1" width="14"/>
  </cols>
  <sheetData>
    <row r="1" customFormat="false" ht="17.25" hidden="false" customHeight="true" outlineLevel="0" collapsed="false">
      <c r="A1" s="2" t="s">
        <v>182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27" t="s">
        <v>54</v>
      </c>
      <c r="B3" s="27" t="s">
        <v>164</v>
      </c>
      <c r="C3" s="27" t="s">
        <v>165</v>
      </c>
      <c r="D3" s="27" t="s">
        <v>166</v>
      </c>
      <c r="E3" s="27" t="s">
        <v>167</v>
      </c>
      <c r="F3" s="27" t="s">
        <v>168</v>
      </c>
      <c r="G3" s="27" t="s">
        <v>169</v>
      </c>
      <c r="H3" s="27" t="s">
        <v>170</v>
      </c>
      <c r="I3" s="27" t="s">
        <v>171</v>
      </c>
      <c r="J3" s="27" t="s">
        <v>172</v>
      </c>
      <c r="K3" s="27" t="s">
        <v>173</v>
      </c>
      <c r="L3" s="27" t="s">
        <v>174</v>
      </c>
      <c r="M3" s="27" t="s">
        <v>175</v>
      </c>
      <c r="N3" s="27" t="s">
        <v>183</v>
      </c>
    </row>
    <row r="4" customFormat="false" ht="15" hidden="false" customHeight="true" outlineLevel="0" collapsed="false">
      <c r="A4" s="28" t="s">
        <v>34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customFormat="false" ht="15" hidden="false" customHeight="true" outlineLevel="0" collapsed="false">
      <c r="A5" s="12" t="s">
        <v>184</v>
      </c>
      <c r="B5" s="37" t="n">
        <f aca="false">ROUND(Inputs!B25+(Inputs!B17-Inputs!B25)*(0/11),0)</f>
        <v>3000</v>
      </c>
      <c r="C5" s="37" t="n">
        <f aca="false">ROUND(Inputs!B25+(Inputs!B17-Inputs!B25)*(1/11),0)</f>
        <v>4545</v>
      </c>
      <c r="D5" s="37" t="n">
        <f aca="false">ROUND(Inputs!B25+(Inputs!B17-Inputs!B25)*(2/11),0)</f>
        <v>6091</v>
      </c>
      <c r="E5" s="37" t="n">
        <f aca="false">ROUND(Inputs!B25+(Inputs!B17-Inputs!B25)*(3/11),0)</f>
        <v>7636</v>
      </c>
      <c r="F5" s="37" t="n">
        <f aca="false">ROUND(Inputs!B25+(Inputs!B17-Inputs!B25)*(4/11),0)</f>
        <v>9182</v>
      </c>
      <c r="G5" s="37" t="n">
        <f aca="false">ROUND(Inputs!B25+(Inputs!B17-Inputs!B25)*(5/11),0)</f>
        <v>10727</v>
      </c>
      <c r="H5" s="37" t="n">
        <f aca="false">ROUND(Inputs!B25+(Inputs!B17-Inputs!B25)*(6/11),0)</f>
        <v>12273</v>
      </c>
      <c r="I5" s="37" t="n">
        <f aca="false">ROUND(Inputs!B25+(Inputs!B17-Inputs!B25)*(7/11),0)</f>
        <v>13818</v>
      </c>
      <c r="J5" s="37" t="n">
        <f aca="false">ROUND(Inputs!B25+(Inputs!B17-Inputs!B25)*(8/11),0)</f>
        <v>15364</v>
      </c>
      <c r="K5" s="37" t="n">
        <f aca="false">ROUND(Inputs!B25+(Inputs!B17-Inputs!B25)*(9/11),0)</f>
        <v>16909</v>
      </c>
      <c r="L5" s="37" t="n">
        <f aca="false">ROUND(Inputs!B25+(Inputs!B17-Inputs!B25)*(10/11),0)</f>
        <v>18455</v>
      </c>
      <c r="M5" s="37" t="n">
        <f aca="false">ROUND(Inputs!B25+(Inputs!B17-Inputs!B25)*(11/11),0)</f>
        <v>20000</v>
      </c>
      <c r="N5" s="23" t="n">
        <f aca="false">SUM(B5:M5)</f>
        <v>138000</v>
      </c>
    </row>
    <row r="6" customFormat="false" ht="15" hidden="false" customHeight="true" outlineLevel="0" collapsed="false">
      <c r="A6" s="38" t="s">
        <v>185</v>
      </c>
      <c r="B6" s="26" t="n">
        <f aca="false">ROUND(B5*Inputs!B18,0)</f>
        <v>300</v>
      </c>
      <c r="C6" s="26" t="n">
        <f aca="false">ROUND(C5*Inputs!B18,0)</f>
        <v>455</v>
      </c>
      <c r="D6" s="26" t="n">
        <f aca="false">ROUND(D5*Inputs!B18,0)</f>
        <v>609</v>
      </c>
      <c r="E6" s="26" t="n">
        <f aca="false">ROUND(E5*Inputs!B18,0)</f>
        <v>764</v>
      </c>
      <c r="F6" s="26" t="n">
        <f aca="false">ROUND(F5*Inputs!B18,0)</f>
        <v>918</v>
      </c>
      <c r="G6" s="26" t="n">
        <f aca="false">ROUND(G5*Inputs!B18,0)</f>
        <v>1073</v>
      </c>
      <c r="H6" s="26" t="n">
        <f aca="false">ROUND(H5*Inputs!B18,0)</f>
        <v>1227</v>
      </c>
      <c r="I6" s="26" t="n">
        <f aca="false">ROUND(I5*Inputs!B18,0)</f>
        <v>1382</v>
      </c>
      <c r="J6" s="26" t="n">
        <f aca="false">ROUND(J5*Inputs!B18,0)</f>
        <v>1536</v>
      </c>
      <c r="K6" s="26" t="n">
        <f aca="false">ROUND(K5*Inputs!B18,0)</f>
        <v>1691</v>
      </c>
      <c r="L6" s="26" t="n">
        <f aca="false">ROUND(L5*Inputs!B18,0)</f>
        <v>1846</v>
      </c>
      <c r="M6" s="26" t="n">
        <f aca="false">ROUND(M5*Inputs!B18,0)</f>
        <v>2000</v>
      </c>
      <c r="N6" s="39" t="n">
        <f aca="false">SUM(B6:M6)</f>
        <v>13801</v>
      </c>
    </row>
    <row r="7" customFormat="false" ht="15" hidden="false" customHeight="true" outlineLevel="0" collapsed="false">
      <c r="A7" s="38" t="s">
        <v>186</v>
      </c>
      <c r="B7" s="26" t="n">
        <f aca="false">ROUND(B6*Inputs!B19,0)</f>
        <v>90</v>
      </c>
      <c r="C7" s="26" t="n">
        <f aca="false">ROUND(C6*Inputs!B19,0)</f>
        <v>137</v>
      </c>
      <c r="D7" s="26" t="n">
        <f aca="false">ROUND(D6*Inputs!B19,0)</f>
        <v>183</v>
      </c>
      <c r="E7" s="26" t="n">
        <f aca="false">ROUND(E6*Inputs!B19,0)</f>
        <v>229</v>
      </c>
      <c r="F7" s="26" t="n">
        <f aca="false">ROUND(F6*Inputs!B19,0)</f>
        <v>275</v>
      </c>
      <c r="G7" s="26" t="n">
        <f aca="false">ROUND(G6*Inputs!B19,0)</f>
        <v>322</v>
      </c>
      <c r="H7" s="26" t="n">
        <f aca="false">ROUND(H6*Inputs!B19,0)</f>
        <v>368</v>
      </c>
      <c r="I7" s="26" t="n">
        <f aca="false">ROUND(I6*Inputs!B19,0)</f>
        <v>415</v>
      </c>
      <c r="J7" s="26" t="n">
        <f aca="false">ROUND(J6*Inputs!B19,0)</f>
        <v>461</v>
      </c>
      <c r="K7" s="26" t="n">
        <f aca="false">ROUND(K6*Inputs!B19,0)</f>
        <v>507</v>
      </c>
      <c r="L7" s="26" t="n">
        <f aca="false">ROUND(L6*Inputs!B19,0)</f>
        <v>554</v>
      </c>
      <c r="M7" s="26" t="n">
        <f aca="false">ROUND(M6*Inputs!B19,0)</f>
        <v>600</v>
      </c>
      <c r="N7" s="39" t="n">
        <f aca="false">SUM(B7:M7)</f>
        <v>4141</v>
      </c>
    </row>
    <row r="8" customFormat="false" ht="15" hidden="false" customHeight="true" outlineLevel="0" collapsed="false">
      <c r="A8" s="38" t="s">
        <v>187</v>
      </c>
      <c r="B8" s="26" t="n">
        <f aca="false">ROUND(B7*Inputs!B20,0)</f>
        <v>20</v>
      </c>
      <c r="C8" s="26" t="n">
        <f aca="false">ROUND(C7*Inputs!B20,0)</f>
        <v>30</v>
      </c>
      <c r="D8" s="26" t="n">
        <f aca="false">ROUND(D7*Inputs!B20,0)</f>
        <v>40</v>
      </c>
      <c r="E8" s="26" t="n">
        <f aca="false">ROUND(E7*Inputs!B20,0)</f>
        <v>50</v>
      </c>
      <c r="F8" s="26" t="n">
        <f aca="false">ROUND(F7*Inputs!B20,0)</f>
        <v>61</v>
      </c>
      <c r="G8" s="26" t="n">
        <f aca="false">ROUND(G7*Inputs!B20,0)</f>
        <v>71</v>
      </c>
      <c r="H8" s="26" t="n">
        <f aca="false">ROUND(H7*Inputs!B20,0)</f>
        <v>81</v>
      </c>
      <c r="I8" s="26" t="n">
        <f aca="false">ROUND(I7*Inputs!B20,0)</f>
        <v>91</v>
      </c>
      <c r="J8" s="26" t="n">
        <f aca="false">ROUND(J7*Inputs!B20,0)</f>
        <v>101</v>
      </c>
      <c r="K8" s="26" t="n">
        <f aca="false">ROUND(K7*Inputs!B20,0)</f>
        <v>112</v>
      </c>
      <c r="L8" s="26" t="n">
        <f aca="false">ROUND(L7*Inputs!B20,0)</f>
        <v>122</v>
      </c>
      <c r="M8" s="26" t="n">
        <f aca="false">ROUND(M7*Inputs!B20,0)</f>
        <v>132</v>
      </c>
      <c r="N8" s="39" t="n">
        <f aca="false">SUM(B8:M8)</f>
        <v>911</v>
      </c>
    </row>
    <row r="9" customFormat="false" ht="15" hidden="false" customHeight="true" outlineLevel="0" collapsed="false">
      <c r="A9" s="38" t="s">
        <v>188</v>
      </c>
      <c r="B9" s="26" t="n">
        <f aca="false">ROUND(B8*Inputs!B21,0)</f>
        <v>11</v>
      </c>
      <c r="C9" s="26" t="n">
        <f aca="false">ROUND(C8*Inputs!B21,0)</f>
        <v>17</v>
      </c>
      <c r="D9" s="26" t="n">
        <f aca="false">ROUND(D8*Inputs!B21,0)</f>
        <v>22</v>
      </c>
      <c r="E9" s="26" t="n">
        <f aca="false">ROUND(E8*Inputs!B21,0)</f>
        <v>28</v>
      </c>
      <c r="F9" s="26" t="n">
        <f aca="false">ROUND(F8*Inputs!B21,0)</f>
        <v>34</v>
      </c>
      <c r="G9" s="26" t="n">
        <f aca="false">ROUND(G8*Inputs!B21,0)</f>
        <v>39</v>
      </c>
      <c r="H9" s="26" t="n">
        <f aca="false">ROUND(H8*Inputs!B21,0)</f>
        <v>45</v>
      </c>
      <c r="I9" s="26" t="n">
        <f aca="false">ROUND(I8*Inputs!B21,0)</f>
        <v>50</v>
      </c>
      <c r="J9" s="26" t="n">
        <f aca="false">ROUND(J8*Inputs!B21,0)</f>
        <v>56</v>
      </c>
      <c r="K9" s="26" t="n">
        <f aca="false">ROUND(K8*Inputs!B21,0)</f>
        <v>62</v>
      </c>
      <c r="L9" s="26" t="n">
        <f aca="false">ROUND(L8*Inputs!B21,0)</f>
        <v>67</v>
      </c>
      <c r="M9" s="26" t="n">
        <f aca="false">ROUND(M8*Inputs!B21,0)</f>
        <v>73</v>
      </c>
      <c r="N9" s="39" t="n">
        <f aca="false">SUM(B9:M9)</f>
        <v>504</v>
      </c>
    </row>
    <row r="10" customFormat="false" ht="15" hidden="false" customHeight="true" outlineLevel="0" collapsed="false">
      <c r="A10" s="22" t="s">
        <v>189</v>
      </c>
      <c r="B10" s="26" t="n">
        <f aca="false">0</f>
        <v>0</v>
      </c>
      <c r="C10" s="26" t="n">
        <f aca="false">ROUND(B9*Inputs!B22,0)</f>
        <v>2</v>
      </c>
      <c r="D10" s="26" t="n">
        <f aca="false">ROUND(C9*Inputs!B22,0)</f>
        <v>3</v>
      </c>
      <c r="E10" s="26" t="n">
        <f aca="false">ROUND(D9*Inputs!B22,0)</f>
        <v>4</v>
      </c>
      <c r="F10" s="26" t="n">
        <f aca="false">ROUND(E9*Inputs!B22,0)</f>
        <v>6</v>
      </c>
      <c r="G10" s="26" t="n">
        <f aca="false">ROUND(F9*Inputs!B22,0)</f>
        <v>7</v>
      </c>
      <c r="H10" s="26" t="n">
        <f aca="false">ROUND(G9*Inputs!B22,0)</f>
        <v>8</v>
      </c>
      <c r="I10" s="26" t="n">
        <f aca="false">ROUND(H9*Inputs!B22,0)</f>
        <v>9</v>
      </c>
      <c r="J10" s="26" t="n">
        <f aca="false">ROUND(I9*Inputs!B22,0)</f>
        <v>10</v>
      </c>
      <c r="K10" s="26" t="n">
        <f aca="false">ROUND(J9*Inputs!B22,0)</f>
        <v>11</v>
      </c>
      <c r="L10" s="26" t="n">
        <f aca="false">ROUND(K9*Inputs!B22,0)</f>
        <v>12</v>
      </c>
      <c r="M10" s="26" t="n">
        <f aca="false">ROUND(L9*Inputs!B22,0)</f>
        <v>13</v>
      </c>
      <c r="N10" s="40" t="n">
        <f aca="false">SUM(B10:M10)</f>
        <v>85</v>
      </c>
    </row>
    <row r="11" customFormat="false" ht="15" hidden="false" customHeight="true" outlineLevel="0" collapsed="false">
      <c r="A11" s="22" t="s">
        <v>190</v>
      </c>
      <c r="B11" s="17" t="n">
        <f aca="false">B10*Inputs!B73</f>
        <v>0</v>
      </c>
      <c r="C11" s="17" t="n">
        <f aca="false">C10*Inputs!B73</f>
        <v>660000</v>
      </c>
      <c r="D11" s="17" t="n">
        <f aca="false">D10*Inputs!B73</f>
        <v>990000</v>
      </c>
      <c r="E11" s="17" t="n">
        <f aca="false">E10*Inputs!B73</f>
        <v>1320000</v>
      </c>
      <c r="F11" s="17" t="n">
        <f aca="false">F10*Inputs!B73</f>
        <v>1980000</v>
      </c>
      <c r="G11" s="17" t="n">
        <f aca="false">G10*Inputs!B73</f>
        <v>2310000</v>
      </c>
      <c r="H11" s="17" t="n">
        <f aca="false">H10*Inputs!B73</f>
        <v>2640000</v>
      </c>
      <c r="I11" s="17" t="n">
        <f aca="false">I10*Inputs!B73</f>
        <v>2970000</v>
      </c>
      <c r="J11" s="17" t="n">
        <f aca="false">J10*Inputs!B73</f>
        <v>3300000</v>
      </c>
      <c r="K11" s="17" t="n">
        <f aca="false">K10*Inputs!B73</f>
        <v>3630000</v>
      </c>
      <c r="L11" s="17" t="n">
        <f aca="false">L10*Inputs!B73</f>
        <v>3960000</v>
      </c>
      <c r="M11" s="17" t="n">
        <f aca="false">M10*Inputs!B73</f>
        <v>4290000</v>
      </c>
      <c r="N11" s="41" t="n">
        <f aca="false">SUM(B11:M11)</f>
        <v>28050000</v>
      </c>
    </row>
    <row r="13" customFormat="false" ht="15" hidden="false" customHeight="true" outlineLevel="0" collapsed="false">
      <c r="A13" s="31" t="s">
        <v>36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</row>
    <row r="14" customFormat="false" ht="15" hidden="false" customHeight="true" outlineLevel="0" collapsed="false">
      <c r="A14" s="12" t="s">
        <v>184</v>
      </c>
      <c r="B14" s="37" t="n">
        <f aca="false">ROUND(Inputs!C25+(Inputs!C17-Inputs!C25)*(0/11),0)</f>
        <v>8000</v>
      </c>
      <c r="C14" s="37" t="n">
        <f aca="false">ROUND(Inputs!C25+(Inputs!C17-Inputs!C25)*(1/11),0)</f>
        <v>10909</v>
      </c>
      <c r="D14" s="37" t="n">
        <f aca="false">ROUND(Inputs!C25+(Inputs!C17-Inputs!C25)*(2/11),0)</f>
        <v>13818</v>
      </c>
      <c r="E14" s="37" t="n">
        <f aca="false">ROUND(Inputs!C25+(Inputs!C17-Inputs!C25)*(3/11),0)</f>
        <v>16727</v>
      </c>
      <c r="F14" s="37" t="n">
        <f aca="false">ROUND(Inputs!C25+(Inputs!C17-Inputs!C25)*(4/11),0)</f>
        <v>19636</v>
      </c>
      <c r="G14" s="37" t="n">
        <f aca="false">ROUND(Inputs!C25+(Inputs!C17-Inputs!C25)*(5/11),0)</f>
        <v>22545</v>
      </c>
      <c r="H14" s="37" t="n">
        <f aca="false">ROUND(Inputs!C25+(Inputs!C17-Inputs!C25)*(6/11),0)</f>
        <v>25455</v>
      </c>
      <c r="I14" s="37" t="n">
        <f aca="false">ROUND(Inputs!C25+(Inputs!C17-Inputs!C25)*(7/11),0)</f>
        <v>28364</v>
      </c>
      <c r="J14" s="37" t="n">
        <f aca="false">ROUND(Inputs!C25+(Inputs!C17-Inputs!C25)*(8/11),0)</f>
        <v>31273</v>
      </c>
      <c r="K14" s="37" t="n">
        <f aca="false">ROUND(Inputs!C25+(Inputs!C17-Inputs!C25)*(9/11),0)</f>
        <v>34182</v>
      </c>
      <c r="L14" s="37" t="n">
        <f aca="false">ROUND(Inputs!C25+(Inputs!C17-Inputs!C25)*(10/11),0)</f>
        <v>37091</v>
      </c>
      <c r="M14" s="37" t="n">
        <f aca="false">ROUND(Inputs!C25+(Inputs!C17-Inputs!C25)*(11/11),0)</f>
        <v>40000</v>
      </c>
      <c r="N14" s="23" t="n">
        <f aca="false">SUM(B14:M14)</f>
        <v>288000</v>
      </c>
    </row>
    <row r="15" customFormat="false" ht="15" hidden="false" customHeight="true" outlineLevel="0" collapsed="false">
      <c r="A15" s="38" t="s">
        <v>185</v>
      </c>
      <c r="B15" s="26" t="n">
        <f aca="false">ROUND(B14*Inputs!C18,0)</f>
        <v>960</v>
      </c>
      <c r="C15" s="26" t="n">
        <f aca="false">ROUND(C14*Inputs!C18,0)</f>
        <v>1309</v>
      </c>
      <c r="D15" s="26" t="n">
        <f aca="false">ROUND(D14*Inputs!C18,0)</f>
        <v>1658</v>
      </c>
      <c r="E15" s="26" t="n">
        <f aca="false">ROUND(E14*Inputs!C18,0)</f>
        <v>2007</v>
      </c>
      <c r="F15" s="26" t="n">
        <f aca="false">ROUND(F14*Inputs!C18,0)</f>
        <v>2356</v>
      </c>
      <c r="G15" s="26" t="n">
        <f aca="false">ROUND(G14*Inputs!C18,0)</f>
        <v>2705</v>
      </c>
      <c r="H15" s="26" t="n">
        <f aca="false">ROUND(H14*Inputs!C18,0)</f>
        <v>3055</v>
      </c>
      <c r="I15" s="26" t="n">
        <f aca="false">ROUND(I14*Inputs!C18,0)</f>
        <v>3404</v>
      </c>
      <c r="J15" s="26" t="n">
        <f aca="false">ROUND(J14*Inputs!C18,0)</f>
        <v>3753</v>
      </c>
      <c r="K15" s="26" t="n">
        <f aca="false">ROUND(K14*Inputs!C18,0)</f>
        <v>4102</v>
      </c>
      <c r="L15" s="26" t="n">
        <f aca="false">ROUND(L14*Inputs!C18,0)</f>
        <v>4451</v>
      </c>
      <c r="M15" s="26" t="n">
        <f aca="false">ROUND(M14*Inputs!C18,0)</f>
        <v>4800</v>
      </c>
      <c r="N15" s="39" t="n">
        <f aca="false">SUM(B15:M15)</f>
        <v>34560</v>
      </c>
    </row>
    <row r="16" customFormat="false" ht="15" hidden="false" customHeight="true" outlineLevel="0" collapsed="false">
      <c r="A16" s="38" t="s">
        <v>186</v>
      </c>
      <c r="B16" s="26" t="n">
        <f aca="false">ROUND(B15*Inputs!C19,0)</f>
        <v>336</v>
      </c>
      <c r="C16" s="26" t="n">
        <f aca="false">ROUND(C15*Inputs!C19,0)</f>
        <v>458</v>
      </c>
      <c r="D16" s="26" t="n">
        <f aca="false">ROUND(D15*Inputs!C19,0)</f>
        <v>580</v>
      </c>
      <c r="E16" s="26" t="n">
        <f aca="false">ROUND(E15*Inputs!C19,0)</f>
        <v>702</v>
      </c>
      <c r="F16" s="26" t="n">
        <f aca="false">ROUND(F15*Inputs!C19,0)</f>
        <v>825</v>
      </c>
      <c r="G16" s="26" t="n">
        <f aca="false">ROUND(G15*Inputs!C19,0)</f>
        <v>947</v>
      </c>
      <c r="H16" s="26" t="n">
        <f aca="false">ROUND(H15*Inputs!C19,0)</f>
        <v>1069</v>
      </c>
      <c r="I16" s="26" t="n">
        <f aca="false">ROUND(I15*Inputs!C19,0)</f>
        <v>1191</v>
      </c>
      <c r="J16" s="26" t="n">
        <f aca="false">ROUND(J15*Inputs!C19,0)</f>
        <v>1314</v>
      </c>
      <c r="K16" s="26" t="n">
        <f aca="false">ROUND(K15*Inputs!C19,0)</f>
        <v>1436</v>
      </c>
      <c r="L16" s="26" t="n">
        <f aca="false">ROUND(L15*Inputs!C19,0)</f>
        <v>1558</v>
      </c>
      <c r="M16" s="26" t="n">
        <f aca="false">ROUND(M15*Inputs!C19,0)</f>
        <v>1680</v>
      </c>
      <c r="N16" s="39" t="n">
        <f aca="false">SUM(B16:M16)</f>
        <v>12096</v>
      </c>
    </row>
    <row r="17" customFormat="false" ht="15" hidden="false" customHeight="true" outlineLevel="0" collapsed="false">
      <c r="A17" s="38" t="s">
        <v>187</v>
      </c>
      <c r="B17" s="26" t="n">
        <f aca="false">ROUND(B16*Inputs!C20,0)</f>
        <v>84</v>
      </c>
      <c r="C17" s="26" t="n">
        <f aca="false">ROUND(C16*Inputs!C20,0)</f>
        <v>115</v>
      </c>
      <c r="D17" s="26" t="n">
        <f aca="false">ROUND(D16*Inputs!C20,0)</f>
        <v>145</v>
      </c>
      <c r="E17" s="26" t="n">
        <f aca="false">ROUND(E16*Inputs!C20,0)</f>
        <v>176</v>
      </c>
      <c r="F17" s="26" t="n">
        <f aca="false">ROUND(F16*Inputs!C20,0)</f>
        <v>206</v>
      </c>
      <c r="G17" s="26" t="n">
        <f aca="false">ROUND(G16*Inputs!C20,0)</f>
        <v>237</v>
      </c>
      <c r="H17" s="26" t="n">
        <f aca="false">ROUND(H16*Inputs!C20,0)</f>
        <v>267</v>
      </c>
      <c r="I17" s="26" t="n">
        <f aca="false">ROUND(I16*Inputs!C20,0)</f>
        <v>298</v>
      </c>
      <c r="J17" s="26" t="n">
        <f aca="false">ROUND(J16*Inputs!C20,0)</f>
        <v>329</v>
      </c>
      <c r="K17" s="26" t="n">
        <f aca="false">ROUND(K16*Inputs!C20,0)</f>
        <v>359</v>
      </c>
      <c r="L17" s="26" t="n">
        <f aca="false">ROUND(L16*Inputs!C20,0)</f>
        <v>390</v>
      </c>
      <c r="M17" s="26" t="n">
        <f aca="false">ROUND(M16*Inputs!C20,0)</f>
        <v>420</v>
      </c>
      <c r="N17" s="39" t="n">
        <f aca="false">SUM(B17:M17)</f>
        <v>3026</v>
      </c>
    </row>
    <row r="18" customFormat="false" ht="15" hidden="false" customHeight="true" outlineLevel="0" collapsed="false">
      <c r="A18" s="38" t="s">
        <v>188</v>
      </c>
      <c r="B18" s="26" t="n">
        <f aca="false">ROUND(B17*Inputs!C21,0)</f>
        <v>50</v>
      </c>
      <c r="C18" s="26" t="n">
        <f aca="false">ROUND(C17*Inputs!C21,0)</f>
        <v>69</v>
      </c>
      <c r="D18" s="26" t="n">
        <f aca="false">ROUND(D17*Inputs!C21,0)</f>
        <v>87</v>
      </c>
      <c r="E18" s="26" t="n">
        <f aca="false">ROUND(E17*Inputs!C21,0)</f>
        <v>106</v>
      </c>
      <c r="F18" s="26" t="n">
        <f aca="false">ROUND(F17*Inputs!C21,0)</f>
        <v>124</v>
      </c>
      <c r="G18" s="26" t="n">
        <f aca="false">ROUND(G17*Inputs!C21,0)</f>
        <v>142</v>
      </c>
      <c r="H18" s="26" t="n">
        <f aca="false">ROUND(H17*Inputs!C21,0)</f>
        <v>160</v>
      </c>
      <c r="I18" s="26" t="n">
        <f aca="false">ROUND(I17*Inputs!C21,0)</f>
        <v>179</v>
      </c>
      <c r="J18" s="26" t="n">
        <f aca="false">ROUND(J17*Inputs!C21,0)</f>
        <v>197</v>
      </c>
      <c r="K18" s="26" t="n">
        <f aca="false">ROUND(K17*Inputs!C21,0)</f>
        <v>215</v>
      </c>
      <c r="L18" s="26" t="n">
        <f aca="false">ROUND(L17*Inputs!C21,0)</f>
        <v>234</v>
      </c>
      <c r="M18" s="26" t="n">
        <f aca="false">ROUND(M17*Inputs!C21,0)</f>
        <v>252</v>
      </c>
      <c r="N18" s="39" t="n">
        <f aca="false">SUM(B18:M18)</f>
        <v>1815</v>
      </c>
    </row>
    <row r="19" customFormat="false" ht="15" hidden="false" customHeight="true" outlineLevel="0" collapsed="false">
      <c r="A19" s="22" t="s">
        <v>189</v>
      </c>
      <c r="B19" s="26" t="n">
        <f aca="false">0</f>
        <v>0</v>
      </c>
      <c r="C19" s="26" t="n">
        <f aca="false">ROUND(B18*Inputs!C22,0)</f>
        <v>12</v>
      </c>
      <c r="D19" s="26" t="n">
        <f aca="false">ROUND(C18*Inputs!C22,0)</f>
        <v>16</v>
      </c>
      <c r="E19" s="26" t="n">
        <f aca="false">ROUND(D18*Inputs!C22,0)</f>
        <v>20</v>
      </c>
      <c r="F19" s="26" t="n">
        <f aca="false">ROUND(E18*Inputs!C22,0)</f>
        <v>24</v>
      </c>
      <c r="G19" s="26" t="n">
        <f aca="false">ROUND(F18*Inputs!C22,0)</f>
        <v>29</v>
      </c>
      <c r="H19" s="26" t="n">
        <f aca="false">ROUND(G18*Inputs!C22,0)</f>
        <v>33</v>
      </c>
      <c r="I19" s="26" t="n">
        <f aca="false">ROUND(H18*Inputs!C22,0)</f>
        <v>37</v>
      </c>
      <c r="J19" s="26" t="n">
        <f aca="false">ROUND(I18*Inputs!C22,0)</f>
        <v>41</v>
      </c>
      <c r="K19" s="26" t="n">
        <f aca="false">ROUND(J18*Inputs!C22,0)</f>
        <v>45</v>
      </c>
      <c r="L19" s="26" t="n">
        <f aca="false">ROUND(K18*Inputs!C22,0)</f>
        <v>49</v>
      </c>
      <c r="M19" s="26" t="n">
        <f aca="false">ROUND(L18*Inputs!C22,0)</f>
        <v>54</v>
      </c>
      <c r="N19" s="40" t="n">
        <f aca="false">SUM(B19:M19)</f>
        <v>360</v>
      </c>
    </row>
    <row r="20" customFormat="false" ht="15" hidden="false" customHeight="true" outlineLevel="0" collapsed="false">
      <c r="A20" s="22" t="s">
        <v>190</v>
      </c>
      <c r="B20" s="17" t="n">
        <f aca="false">B19*Inputs!C73</f>
        <v>0</v>
      </c>
      <c r="C20" s="17" t="n">
        <f aca="false">C19*Inputs!C73</f>
        <v>4320000</v>
      </c>
      <c r="D20" s="17" t="n">
        <f aca="false">D19*Inputs!C73</f>
        <v>5760000</v>
      </c>
      <c r="E20" s="17" t="n">
        <f aca="false">E19*Inputs!C73</f>
        <v>7200000</v>
      </c>
      <c r="F20" s="17" t="n">
        <f aca="false">F19*Inputs!C73</f>
        <v>8640000</v>
      </c>
      <c r="G20" s="17" t="n">
        <f aca="false">G19*Inputs!C73</f>
        <v>10440000</v>
      </c>
      <c r="H20" s="17" t="n">
        <f aca="false">H19*Inputs!C73</f>
        <v>11880000</v>
      </c>
      <c r="I20" s="17" t="n">
        <f aca="false">I19*Inputs!C73</f>
        <v>13320000</v>
      </c>
      <c r="J20" s="17" t="n">
        <f aca="false">J19*Inputs!C73</f>
        <v>14760000</v>
      </c>
      <c r="K20" s="17" t="n">
        <f aca="false">K19*Inputs!C73</f>
        <v>16200000</v>
      </c>
      <c r="L20" s="17" t="n">
        <f aca="false">L19*Inputs!C73</f>
        <v>17640000</v>
      </c>
      <c r="M20" s="17" t="n">
        <f aca="false">M19*Inputs!C73</f>
        <v>19440000</v>
      </c>
      <c r="N20" s="41" t="n">
        <f aca="false">SUM(B20:M20)</f>
        <v>129600000</v>
      </c>
    </row>
    <row r="22" customFormat="false" ht="15" hidden="false" customHeight="true" outlineLevel="0" collapsed="false">
      <c r="A22" s="34" t="s">
        <v>38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</row>
    <row r="23" customFormat="false" ht="15" hidden="false" customHeight="true" outlineLevel="0" collapsed="false">
      <c r="A23" s="12" t="s">
        <v>184</v>
      </c>
      <c r="B23" s="37" t="n">
        <f aca="false">ROUND(Inputs!D25+(Inputs!D17-Inputs!D25)*(0/11),0)</f>
        <v>15000</v>
      </c>
      <c r="C23" s="37" t="n">
        <f aca="false">ROUND(Inputs!D25+(Inputs!D17-Inputs!D25)*(1/11),0)</f>
        <v>20000</v>
      </c>
      <c r="D23" s="37" t="n">
        <f aca="false">ROUND(Inputs!D25+(Inputs!D17-Inputs!D25)*(2/11),0)</f>
        <v>25000</v>
      </c>
      <c r="E23" s="37" t="n">
        <f aca="false">ROUND(Inputs!D25+(Inputs!D17-Inputs!D25)*(3/11),0)</f>
        <v>30000</v>
      </c>
      <c r="F23" s="37" t="n">
        <f aca="false">ROUND(Inputs!D25+(Inputs!D17-Inputs!D25)*(4/11),0)</f>
        <v>35000</v>
      </c>
      <c r="G23" s="37" t="n">
        <f aca="false">ROUND(Inputs!D25+(Inputs!D17-Inputs!D25)*(5/11),0)</f>
        <v>40000</v>
      </c>
      <c r="H23" s="37" t="n">
        <f aca="false">ROUND(Inputs!D25+(Inputs!D17-Inputs!D25)*(6/11),0)</f>
        <v>45000</v>
      </c>
      <c r="I23" s="37" t="n">
        <f aca="false">ROUND(Inputs!D25+(Inputs!D17-Inputs!D25)*(7/11),0)</f>
        <v>50000</v>
      </c>
      <c r="J23" s="37" t="n">
        <f aca="false">ROUND(Inputs!D25+(Inputs!D17-Inputs!D25)*(8/11),0)</f>
        <v>55000</v>
      </c>
      <c r="K23" s="37" t="n">
        <f aca="false">ROUND(Inputs!D25+(Inputs!D17-Inputs!D25)*(9/11),0)</f>
        <v>60000</v>
      </c>
      <c r="L23" s="37" t="n">
        <f aca="false">ROUND(Inputs!D25+(Inputs!D17-Inputs!D25)*(10/11),0)</f>
        <v>65000</v>
      </c>
      <c r="M23" s="37" t="n">
        <f aca="false">ROUND(Inputs!D25+(Inputs!D17-Inputs!D25)*(11/11),0)</f>
        <v>70000</v>
      </c>
      <c r="N23" s="23" t="n">
        <f aca="false">SUM(B23:M23)</f>
        <v>510000</v>
      </c>
    </row>
    <row r="24" customFormat="false" ht="15" hidden="false" customHeight="true" outlineLevel="0" collapsed="false">
      <c r="A24" s="38" t="s">
        <v>185</v>
      </c>
      <c r="B24" s="26" t="n">
        <f aca="false">ROUND(B23*Inputs!D18,0)</f>
        <v>1950</v>
      </c>
      <c r="C24" s="26" t="n">
        <f aca="false">ROUND(C23*Inputs!D18,0)</f>
        <v>2600</v>
      </c>
      <c r="D24" s="26" t="n">
        <f aca="false">ROUND(D23*Inputs!D18,0)</f>
        <v>3250</v>
      </c>
      <c r="E24" s="26" t="n">
        <f aca="false">ROUND(E23*Inputs!D18,0)</f>
        <v>3900</v>
      </c>
      <c r="F24" s="26" t="n">
        <f aca="false">ROUND(F23*Inputs!D18,0)</f>
        <v>4550</v>
      </c>
      <c r="G24" s="26" t="n">
        <f aca="false">ROUND(G23*Inputs!D18,0)</f>
        <v>5200</v>
      </c>
      <c r="H24" s="26" t="n">
        <f aca="false">ROUND(H23*Inputs!D18,0)</f>
        <v>5850</v>
      </c>
      <c r="I24" s="26" t="n">
        <f aca="false">ROUND(I23*Inputs!D18,0)</f>
        <v>6500</v>
      </c>
      <c r="J24" s="26" t="n">
        <f aca="false">ROUND(J23*Inputs!D18,0)</f>
        <v>7150</v>
      </c>
      <c r="K24" s="26" t="n">
        <f aca="false">ROUND(K23*Inputs!D18,0)</f>
        <v>7800</v>
      </c>
      <c r="L24" s="26" t="n">
        <f aca="false">ROUND(L23*Inputs!D18,0)</f>
        <v>8450</v>
      </c>
      <c r="M24" s="26" t="n">
        <f aca="false">ROUND(M23*Inputs!D18,0)</f>
        <v>9100</v>
      </c>
      <c r="N24" s="39" t="n">
        <f aca="false">SUM(B24:M24)</f>
        <v>66300</v>
      </c>
    </row>
    <row r="25" customFormat="false" ht="15" hidden="false" customHeight="true" outlineLevel="0" collapsed="false">
      <c r="A25" s="38" t="s">
        <v>186</v>
      </c>
      <c r="B25" s="26" t="n">
        <f aca="false">ROUND(B24*Inputs!D19,0)</f>
        <v>741</v>
      </c>
      <c r="C25" s="26" t="n">
        <f aca="false">ROUND(C24*Inputs!D19,0)</f>
        <v>988</v>
      </c>
      <c r="D25" s="26" t="n">
        <f aca="false">ROUND(D24*Inputs!D19,0)</f>
        <v>1235</v>
      </c>
      <c r="E25" s="26" t="n">
        <f aca="false">ROUND(E24*Inputs!D19,0)</f>
        <v>1482</v>
      </c>
      <c r="F25" s="26" t="n">
        <f aca="false">ROUND(F24*Inputs!D19,0)</f>
        <v>1729</v>
      </c>
      <c r="G25" s="26" t="n">
        <f aca="false">ROUND(G24*Inputs!D19,0)</f>
        <v>1976</v>
      </c>
      <c r="H25" s="26" t="n">
        <f aca="false">ROUND(H24*Inputs!D19,0)</f>
        <v>2223</v>
      </c>
      <c r="I25" s="26" t="n">
        <f aca="false">ROUND(I24*Inputs!D19,0)</f>
        <v>2470</v>
      </c>
      <c r="J25" s="26" t="n">
        <f aca="false">ROUND(J24*Inputs!D19,0)</f>
        <v>2717</v>
      </c>
      <c r="K25" s="26" t="n">
        <f aca="false">ROUND(K24*Inputs!D19,0)</f>
        <v>2964</v>
      </c>
      <c r="L25" s="26" t="n">
        <f aca="false">ROUND(L24*Inputs!D19,0)</f>
        <v>3211</v>
      </c>
      <c r="M25" s="26" t="n">
        <f aca="false">ROUND(M24*Inputs!D19,0)</f>
        <v>3458</v>
      </c>
      <c r="N25" s="39" t="n">
        <f aca="false">SUM(B25:M25)</f>
        <v>25194</v>
      </c>
    </row>
    <row r="26" customFormat="false" ht="15" hidden="false" customHeight="true" outlineLevel="0" collapsed="false">
      <c r="A26" s="38" t="s">
        <v>187</v>
      </c>
      <c r="B26" s="26" t="n">
        <f aca="false">ROUND(B25*Inputs!D20,0)</f>
        <v>207</v>
      </c>
      <c r="C26" s="26" t="n">
        <f aca="false">ROUND(C25*Inputs!D20,0)</f>
        <v>277</v>
      </c>
      <c r="D26" s="26" t="n">
        <f aca="false">ROUND(D25*Inputs!D20,0)</f>
        <v>346</v>
      </c>
      <c r="E26" s="26" t="n">
        <f aca="false">ROUND(E25*Inputs!D20,0)</f>
        <v>415</v>
      </c>
      <c r="F26" s="26" t="n">
        <f aca="false">ROUND(F25*Inputs!D20,0)</f>
        <v>484</v>
      </c>
      <c r="G26" s="26" t="n">
        <f aca="false">ROUND(G25*Inputs!D20,0)</f>
        <v>553</v>
      </c>
      <c r="H26" s="26" t="n">
        <f aca="false">ROUND(H25*Inputs!D20,0)</f>
        <v>622</v>
      </c>
      <c r="I26" s="26" t="n">
        <f aca="false">ROUND(I25*Inputs!D20,0)</f>
        <v>692</v>
      </c>
      <c r="J26" s="26" t="n">
        <f aca="false">ROUND(J25*Inputs!D20,0)</f>
        <v>761</v>
      </c>
      <c r="K26" s="26" t="n">
        <f aca="false">ROUND(K25*Inputs!D20,0)</f>
        <v>830</v>
      </c>
      <c r="L26" s="26" t="n">
        <f aca="false">ROUND(L25*Inputs!D20,0)</f>
        <v>899</v>
      </c>
      <c r="M26" s="26" t="n">
        <f aca="false">ROUND(M25*Inputs!D20,0)</f>
        <v>968</v>
      </c>
      <c r="N26" s="39" t="n">
        <f aca="false">SUM(B26:M26)</f>
        <v>7054</v>
      </c>
    </row>
    <row r="27" customFormat="false" ht="15" hidden="false" customHeight="true" outlineLevel="0" collapsed="false">
      <c r="A27" s="38" t="s">
        <v>188</v>
      </c>
      <c r="B27" s="26" t="n">
        <f aca="false">ROUND(B26*Inputs!D21,0)</f>
        <v>135</v>
      </c>
      <c r="C27" s="26" t="n">
        <f aca="false">ROUND(C26*Inputs!D21,0)</f>
        <v>180</v>
      </c>
      <c r="D27" s="26" t="n">
        <f aca="false">ROUND(D26*Inputs!D21,0)</f>
        <v>225</v>
      </c>
      <c r="E27" s="26" t="n">
        <f aca="false">ROUND(E26*Inputs!D21,0)</f>
        <v>270</v>
      </c>
      <c r="F27" s="26" t="n">
        <f aca="false">ROUND(F26*Inputs!D21,0)</f>
        <v>315</v>
      </c>
      <c r="G27" s="26" t="n">
        <f aca="false">ROUND(G26*Inputs!D21,0)</f>
        <v>359</v>
      </c>
      <c r="H27" s="26" t="n">
        <f aca="false">ROUND(H26*Inputs!D21,0)</f>
        <v>404</v>
      </c>
      <c r="I27" s="26" t="n">
        <f aca="false">ROUND(I26*Inputs!D21,0)</f>
        <v>450</v>
      </c>
      <c r="J27" s="26" t="n">
        <f aca="false">ROUND(J26*Inputs!D21,0)</f>
        <v>495</v>
      </c>
      <c r="K27" s="26" t="n">
        <f aca="false">ROUND(K26*Inputs!D21,0)</f>
        <v>540</v>
      </c>
      <c r="L27" s="26" t="n">
        <f aca="false">ROUND(L26*Inputs!D21,0)</f>
        <v>584</v>
      </c>
      <c r="M27" s="26" t="n">
        <f aca="false">ROUND(M26*Inputs!D21,0)</f>
        <v>629</v>
      </c>
      <c r="N27" s="39" t="n">
        <f aca="false">SUM(B27:M27)</f>
        <v>4586</v>
      </c>
    </row>
    <row r="28" customFormat="false" ht="15" hidden="false" customHeight="true" outlineLevel="0" collapsed="false">
      <c r="A28" s="22" t="s">
        <v>189</v>
      </c>
      <c r="B28" s="26" t="n">
        <f aca="false">0</f>
        <v>0</v>
      </c>
      <c r="C28" s="26" t="n">
        <f aca="false">ROUND(B27*Inputs!D22,0)</f>
        <v>34</v>
      </c>
      <c r="D28" s="26" t="n">
        <f aca="false">ROUND(C27*Inputs!D22,0)</f>
        <v>45</v>
      </c>
      <c r="E28" s="26" t="n">
        <f aca="false">ROUND(D27*Inputs!D22,0)</f>
        <v>56</v>
      </c>
      <c r="F28" s="26" t="n">
        <f aca="false">ROUND(E27*Inputs!D22,0)</f>
        <v>68</v>
      </c>
      <c r="G28" s="26" t="n">
        <f aca="false">ROUND(F27*Inputs!D22,0)</f>
        <v>79</v>
      </c>
      <c r="H28" s="26" t="n">
        <f aca="false">ROUND(G27*Inputs!D22,0)</f>
        <v>90</v>
      </c>
      <c r="I28" s="26" t="n">
        <f aca="false">ROUND(H27*Inputs!D22,0)</f>
        <v>101</v>
      </c>
      <c r="J28" s="26" t="n">
        <f aca="false">ROUND(I27*Inputs!D22,0)</f>
        <v>113</v>
      </c>
      <c r="K28" s="26" t="n">
        <f aca="false">ROUND(J27*Inputs!D22,0)</f>
        <v>124</v>
      </c>
      <c r="L28" s="26" t="n">
        <f aca="false">ROUND(K27*Inputs!D22,0)</f>
        <v>135</v>
      </c>
      <c r="M28" s="26" t="n">
        <f aca="false">ROUND(L27*Inputs!D22,0)</f>
        <v>146</v>
      </c>
      <c r="N28" s="40" t="n">
        <f aca="false">SUM(B28:M28)</f>
        <v>991</v>
      </c>
    </row>
    <row r="29" customFormat="false" ht="15" hidden="false" customHeight="true" outlineLevel="0" collapsed="false">
      <c r="A29" s="22" t="s">
        <v>190</v>
      </c>
      <c r="B29" s="17" t="n">
        <f aca="false">B28*Inputs!D73</f>
        <v>0</v>
      </c>
      <c r="C29" s="17" t="n">
        <f aca="false">C28*Inputs!D73</f>
        <v>12920000</v>
      </c>
      <c r="D29" s="17" t="n">
        <f aca="false">D28*Inputs!D73</f>
        <v>17100000</v>
      </c>
      <c r="E29" s="17" t="n">
        <f aca="false">E28*Inputs!D73</f>
        <v>21280000</v>
      </c>
      <c r="F29" s="17" t="n">
        <f aca="false">F28*Inputs!D73</f>
        <v>25840000</v>
      </c>
      <c r="G29" s="17" t="n">
        <f aca="false">G28*Inputs!D73</f>
        <v>30020000</v>
      </c>
      <c r="H29" s="17" t="n">
        <f aca="false">H28*Inputs!D73</f>
        <v>34200000</v>
      </c>
      <c r="I29" s="17" t="n">
        <f aca="false">I28*Inputs!D73</f>
        <v>38380000</v>
      </c>
      <c r="J29" s="17" t="n">
        <f aca="false">J28*Inputs!D73</f>
        <v>42940000</v>
      </c>
      <c r="K29" s="17" t="n">
        <f aca="false">K28*Inputs!D73</f>
        <v>47120000</v>
      </c>
      <c r="L29" s="17" t="n">
        <f aca="false">L28*Inputs!D73</f>
        <v>51300000</v>
      </c>
      <c r="M29" s="17" t="n">
        <f aca="false">M28*Inputs!D73</f>
        <v>55480000</v>
      </c>
      <c r="N29" s="41" t="n">
        <f aca="false">SUM(B29:M29)</f>
        <v>376580000</v>
      </c>
    </row>
  </sheetData>
  <mergeCells count="4">
    <mergeCell ref="A1:N1"/>
    <mergeCell ref="A4:N4"/>
    <mergeCell ref="A13:N13"/>
    <mergeCell ref="A22:N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3" min="2" style="1" width="12"/>
    <col collapsed="false" customWidth="true" hidden="false" outlineLevel="0" max="14" min="14" style="1" width="14"/>
  </cols>
  <sheetData>
    <row r="1" customFormat="false" ht="17.25" hidden="false" customHeight="true" outlineLevel="0" collapsed="false">
      <c r="A1" s="2" t="s">
        <v>191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27" t="s">
        <v>54</v>
      </c>
      <c r="B3" s="27" t="s">
        <v>164</v>
      </c>
      <c r="C3" s="27" t="s">
        <v>165</v>
      </c>
      <c r="D3" s="27" t="s">
        <v>166</v>
      </c>
      <c r="E3" s="27" t="s">
        <v>167</v>
      </c>
      <c r="F3" s="27" t="s">
        <v>168</v>
      </c>
      <c r="G3" s="27" t="s">
        <v>169</v>
      </c>
      <c r="H3" s="27" t="s">
        <v>170</v>
      </c>
      <c r="I3" s="27" t="s">
        <v>171</v>
      </c>
      <c r="J3" s="27" t="s">
        <v>172</v>
      </c>
      <c r="K3" s="27" t="s">
        <v>173</v>
      </c>
      <c r="L3" s="27" t="s">
        <v>174</v>
      </c>
      <c r="M3" s="27" t="s">
        <v>175</v>
      </c>
      <c r="N3" s="27" t="s">
        <v>183</v>
      </c>
    </row>
    <row r="4" customFormat="false" ht="15" hidden="false" customHeight="true" outlineLevel="0" collapsed="false">
      <c r="A4" s="28" t="s">
        <v>34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customFormat="false" ht="15" hidden="false" customHeight="true" outlineLevel="0" collapsed="false">
      <c r="A5" s="22" t="s">
        <v>16</v>
      </c>
      <c r="B5" s="42" t="n">
        <f aca="false">Revenue!B11</f>
        <v>0</v>
      </c>
      <c r="C5" s="42" t="n">
        <f aca="false">Revenue!C11</f>
        <v>660000</v>
      </c>
      <c r="D5" s="42" t="n">
        <f aca="false">Revenue!D11</f>
        <v>990000</v>
      </c>
      <c r="E5" s="42" t="n">
        <f aca="false">Revenue!E11</f>
        <v>1320000</v>
      </c>
      <c r="F5" s="42" t="n">
        <f aca="false">Revenue!F11</f>
        <v>1980000</v>
      </c>
      <c r="G5" s="42" t="n">
        <f aca="false">Revenue!G11</f>
        <v>2310000</v>
      </c>
      <c r="H5" s="42" t="n">
        <f aca="false">Revenue!H11</f>
        <v>2640000</v>
      </c>
      <c r="I5" s="42" t="n">
        <f aca="false">Revenue!I11</f>
        <v>2970000</v>
      </c>
      <c r="J5" s="42" t="n">
        <f aca="false">Revenue!J11</f>
        <v>3300000</v>
      </c>
      <c r="K5" s="42" t="n">
        <f aca="false">Revenue!K11</f>
        <v>3630000</v>
      </c>
      <c r="L5" s="42" t="n">
        <f aca="false">Revenue!L11</f>
        <v>3960000</v>
      </c>
      <c r="M5" s="42" t="n">
        <f aca="false">Revenue!M11</f>
        <v>4290000</v>
      </c>
      <c r="N5" s="43" t="n">
        <f aca="false">Revenue!N11</f>
        <v>28050000</v>
      </c>
    </row>
    <row r="7" customFormat="false" ht="15" hidden="false" customHeight="true" outlineLevel="0" collapsed="false">
      <c r="A7" s="44" t="s">
        <v>192</v>
      </c>
    </row>
    <row r="8" customFormat="false" ht="15" hidden="false" customHeight="true" outlineLevel="0" collapsed="false">
      <c r="A8" s="38" t="s">
        <v>193</v>
      </c>
      <c r="B8" s="17" t="n">
        <f aca="false">SUMPRODUCT(Headcount!B5:B14,Inputs!$B$42:$B$51)*Inputs!$B$52</f>
        <v>884000</v>
      </c>
      <c r="C8" s="17" t="n">
        <f aca="false">SUMPRODUCT(Headcount!C5:C14,Inputs!$B$42:$B$51)*Inputs!$B$52</f>
        <v>1170000</v>
      </c>
      <c r="D8" s="17" t="n">
        <f aca="false">SUMPRODUCT(Headcount!D5:D14,Inputs!$B$42:$B$51)*Inputs!$B$52</f>
        <v>1430000</v>
      </c>
      <c r="E8" s="17" t="n">
        <f aca="false">SUMPRODUCT(Headcount!E5:E14,Inputs!$B$42:$B$51)*Inputs!$B$52</f>
        <v>1430000</v>
      </c>
      <c r="F8" s="17" t="n">
        <f aca="false">SUMPRODUCT(Headcount!F5:F14,Inputs!$B$42:$B$51)*Inputs!$B$52</f>
        <v>1430000</v>
      </c>
      <c r="G8" s="17" t="n">
        <f aca="false">SUMPRODUCT(Headcount!G5:G14,Inputs!$B$42:$B$51)*Inputs!$B$52</f>
        <v>1625000</v>
      </c>
      <c r="H8" s="17" t="n">
        <f aca="false">SUMPRODUCT(Headcount!H5:H14,Inputs!$B$42:$B$51)*Inputs!$B$52</f>
        <v>1625000</v>
      </c>
      <c r="I8" s="17" t="n">
        <f aca="false">SUMPRODUCT(Headcount!I5:I14,Inputs!$B$42:$B$51)*Inputs!$B$52</f>
        <v>2080000</v>
      </c>
      <c r="J8" s="17" t="n">
        <f aca="false">SUMPRODUCT(Headcount!J5:J14,Inputs!$B$42:$B$51)*Inputs!$B$52</f>
        <v>2080000</v>
      </c>
      <c r="K8" s="17" t="n">
        <f aca="false">SUMPRODUCT(Headcount!K5:K14,Inputs!$B$42:$B$51)*Inputs!$B$52</f>
        <v>2080000</v>
      </c>
      <c r="L8" s="17" t="n">
        <f aca="false">SUMPRODUCT(Headcount!L5:L14,Inputs!$B$42:$B$51)*Inputs!$B$52</f>
        <v>2080000</v>
      </c>
      <c r="M8" s="17" t="n">
        <f aca="false">SUMPRODUCT(Headcount!M5:M14,Inputs!$B$42:$B$51)*Inputs!$B$52</f>
        <v>2080000</v>
      </c>
      <c r="N8" s="45" t="n">
        <f aca="false">SUM(B8:M8)</f>
        <v>19994000</v>
      </c>
    </row>
    <row r="9" customFormat="false" ht="15" hidden="false" customHeight="true" outlineLevel="0" collapsed="false">
      <c r="A9" s="38" t="s">
        <v>194</v>
      </c>
      <c r="B9" s="42" t="n">
        <f aca="false">Inputs!$B$55/12</f>
        <v>1000000</v>
      </c>
      <c r="C9" s="42" t="n">
        <f aca="false">Inputs!$B$55/12</f>
        <v>1000000</v>
      </c>
      <c r="D9" s="42" t="n">
        <f aca="false">Inputs!$B$55/12</f>
        <v>1000000</v>
      </c>
      <c r="E9" s="42" t="n">
        <f aca="false">Inputs!$B$55/12</f>
        <v>1000000</v>
      </c>
      <c r="F9" s="42" t="n">
        <f aca="false">Inputs!$B$55/12</f>
        <v>1000000</v>
      </c>
      <c r="G9" s="42" t="n">
        <f aca="false">Inputs!$B$55/12</f>
        <v>1000000</v>
      </c>
      <c r="H9" s="42" t="n">
        <f aca="false">Inputs!$B$55/12</f>
        <v>1000000</v>
      </c>
      <c r="I9" s="42" t="n">
        <f aca="false">Inputs!$B$55/12</f>
        <v>1000000</v>
      </c>
      <c r="J9" s="42" t="n">
        <f aca="false">Inputs!$B$55/12</f>
        <v>1000000</v>
      </c>
      <c r="K9" s="42" t="n">
        <f aca="false">Inputs!$B$55/12</f>
        <v>1000000</v>
      </c>
      <c r="L9" s="42" t="n">
        <f aca="false">Inputs!$B$55/12</f>
        <v>1000000</v>
      </c>
      <c r="M9" s="42" t="n">
        <f aca="false">Inputs!$B$55/12</f>
        <v>1000000</v>
      </c>
      <c r="N9" s="43" t="n">
        <f aca="false">Inputs!$B$55</f>
        <v>12000000</v>
      </c>
    </row>
    <row r="10" customFormat="false" ht="15" hidden="false" customHeight="true" outlineLevel="0" collapsed="false">
      <c r="A10" s="38" t="s">
        <v>195</v>
      </c>
      <c r="B10" s="42" t="n">
        <f aca="false">Inputs!$B$63/12</f>
        <v>200000</v>
      </c>
      <c r="C10" s="42" t="n">
        <f aca="false">Inputs!$B$63/12</f>
        <v>200000</v>
      </c>
      <c r="D10" s="42" t="n">
        <f aca="false">Inputs!$B$63/12</f>
        <v>200000</v>
      </c>
      <c r="E10" s="42" t="n">
        <f aca="false">Inputs!$B$63/12</f>
        <v>200000</v>
      </c>
      <c r="F10" s="42" t="n">
        <f aca="false">Inputs!$B$63/12</f>
        <v>200000</v>
      </c>
      <c r="G10" s="42" t="n">
        <f aca="false">Inputs!$B$63/12</f>
        <v>200000</v>
      </c>
      <c r="H10" s="42" t="n">
        <f aca="false">Inputs!$B$63/12</f>
        <v>200000</v>
      </c>
      <c r="I10" s="42" t="n">
        <f aca="false">Inputs!$B$63/12</f>
        <v>200000</v>
      </c>
      <c r="J10" s="42" t="n">
        <f aca="false">Inputs!$B$63/12</f>
        <v>200000</v>
      </c>
      <c r="K10" s="42" t="n">
        <f aca="false">Inputs!$B$63/12</f>
        <v>200000</v>
      </c>
      <c r="L10" s="42" t="n">
        <f aca="false">Inputs!$B$63/12</f>
        <v>200000</v>
      </c>
      <c r="M10" s="42" t="n">
        <f aca="false">Inputs!$B$63/12</f>
        <v>200000</v>
      </c>
      <c r="N10" s="43" t="n">
        <f aca="false">Inputs!$B$63</f>
        <v>2400000</v>
      </c>
    </row>
    <row r="11" customFormat="false" ht="15" hidden="false" customHeight="true" outlineLevel="0" collapsed="false">
      <c r="A11" s="38" t="s">
        <v>196</v>
      </c>
      <c r="B11" s="42" t="n">
        <f aca="false">Inputs!$B$65/12</f>
        <v>50000</v>
      </c>
      <c r="C11" s="42" t="n">
        <f aca="false">Inputs!$B$65/12</f>
        <v>50000</v>
      </c>
      <c r="D11" s="42" t="n">
        <f aca="false">Inputs!$B$65/12</f>
        <v>50000</v>
      </c>
      <c r="E11" s="42" t="n">
        <f aca="false">Inputs!$B$65/12</f>
        <v>50000</v>
      </c>
      <c r="F11" s="42" t="n">
        <f aca="false">Inputs!$B$65/12</f>
        <v>50000</v>
      </c>
      <c r="G11" s="42" t="n">
        <f aca="false">Inputs!$B$65/12</f>
        <v>50000</v>
      </c>
      <c r="H11" s="42" t="n">
        <f aca="false">Inputs!$B$65/12</f>
        <v>50000</v>
      </c>
      <c r="I11" s="42" t="n">
        <f aca="false">Inputs!$B$65/12</f>
        <v>50000</v>
      </c>
      <c r="J11" s="42" t="n">
        <f aca="false">Inputs!$B$65/12</f>
        <v>50000</v>
      </c>
      <c r="K11" s="42" t="n">
        <f aca="false">Inputs!$B$65/12</f>
        <v>50000</v>
      </c>
      <c r="L11" s="42" t="n">
        <f aca="false">Inputs!$B$65/12</f>
        <v>50000</v>
      </c>
      <c r="M11" s="42" t="n">
        <f aca="false">Inputs!$B$65/12</f>
        <v>50000</v>
      </c>
      <c r="N11" s="43" t="n">
        <f aca="false">Inputs!$B$65</f>
        <v>600000</v>
      </c>
    </row>
    <row r="12" customFormat="false" ht="15" hidden="false" customHeight="true" outlineLevel="0" collapsed="false">
      <c r="A12" s="38" t="s">
        <v>197</v>
      </c>
      <c r="B12" s="42" t="n">
        <f aca="false">Inputs!$B$66/12</f>
        <v>125000</v>
      </c>
      <c r="C12" s="42" t="n">
        <f aca="false">Inputs!$B$66/12</f>
        <v>125000</v>
      </c>
      <c r="D12" s="42" t="n">
        <f aca="false">Inputs!$B$66/12</f>
        <v>125000</v>
      </c>
      <c r="E12" s="42" t="n">
        <f aca="false">Inputs!$B$66/12</f>
        <v>125000</v>
      </c>
      <c r="F12" s="42" t="n">
        <f aca="false">Inputs!$B$66/12</f>
        <v>125000</v>
      </c>
      <c r="G12" s="42" t="n">
        <f aca="false">Inputs!$B$66/12</f>
        <v>125000</v>
      </c>
      <c r="H12" s="42" t="n">
        <f aca="false">Inputs!$B$66/12</f>
        <v>125000</v>
      </c>
      <c r="I12" s="42" t="n">
        <f aca="false">Inputs!$B$66/12</f>
        <v>125000</v>
      </c>
      <c r="J12" s="42" t="n">
        <f aca="false">Inputs!$B$66/12</f>
        <v>125000</v>
      </c>
      <c r="K12" s="42" t="n">
        <f aca="false">Inputs!$B$66/12</f>
        <v>125000</v>
      </c>
      <c r="L12" s="42" t="n">
        <f aca="false">Inputs!$B$66/12</f>
        <v>125000</v>
      </c>
      <c r="M12" s="42" t="n">
        <f aca="false">Inputs!$B$66/12</f>
        <v>125000</v>
      </c>
      <c r="N12" s="43" t="n">
        <f aca="false">Inputs!$B$66</f>
        <v>1500000</v>
      </c>
    </row>
    <row r="13" customFormat="false" ht="15" hidden="false" customHeight="true" outlineLevel="0" collapsed="false">
      <c r="A13" s="38" t="s">
        <v>146</v>
      </c>
      <c r="B13" s="42" t="n">
        <f aca="false">Inputs!$B$64/12</f>
        <v>100000</v>
      </c>
      <c r="C13" s="42" t="n">
        <f aca="false">Inputs!$B$64/12</f>
        <v>100000</v>
      </c>
      <c r="D13" s="42" t="n">
        <f aca="false">Inputs!$B$64/12</f>
        <v>100000</v>
      </c>
      <c r="E13" s="42" t="n">
        <f aca="false">Inputs!$B$64/12</f>
        <v>100000</v>
      </c>
      <c r="F13" s="42" t="n">
        <f aca="false">Inputs!$B$64/12</f>
        <v>100000</v>
      </c>
      <c r="G13" s="42" t="n">
        <f aca="false">Inputs!$B$64/12</f>
        <v>100000</v>
      </c>
      <c r="H13" s="42" t="n">
        <f aca="false">Inputs!$B$64/12</f>
        <v>100000</v>
      </c>
      <c r="I13" s="42" t="n">
        <f aca="false">Inputs!$B$64/12</f>
        <v>100000</v>
      </c>
      <c r="J13" s="42" t="n">
        <f aca="false">Inputs!$B$64/12</f>
        <v>100000</v>
      </c>
      <c r="K13" s="42" t="n">
        <f aca="false">Inputs!$B$64/12</f>
        <v>100000</v>
      </c>
      <c r="L13" s="42" t="n">
        <f aca="false">Inputs!$B$64/12</f>
        <v>100000</v>
      </c>
      <c r="M13" s="42" t="n">
        <f aca="false">Inputs!$B$64/12</f>
        <v>100000</v>
      </c>
      <c r="N13" s="43" t="n">
        <f aca="false">Inputs!$B$64</f>
        <v>1200000</v>
      </c>
    </row>
    <row r="14" customFormat="false" ht="15" hidden="false" customHeight="true" outlineLevel="0" collapsed="false">
      <c r="A14" s="38" t="s">
        <v>198</v>
      </c>
      <c r="B14" s="42" t="n">
        <f aca="false">Inputs!$B$67/12</f>
        <v>50000</v>
      </c>
      <c r="C14" s="42" t="n">
        <f aca="false">Inputs!$B$67/12</f>
        <v>50000</v>
      </c>
      <c r="D14" s="42" t="n">
        <f aca="false">Inputs!$B$67/12</f>
        <v>50000</v>
      </c>
      <c r="E14" s="42" t="n">
        <f aca="false">Inputs!$B$67/12</f>
        <v>50000</v>
      </c>
      <c r="F14" s="42" t="n">
        <f aca="false">Inputs!$B$67/12</f>
        <v>50000</v>
      </c>
      <c r="G14" s="42" t="n">
        <f aca="false">Inputs!$B$67/12</f>
        <v>50000</v>
      </c>
      <c r="H14" s="42" t="n">
        <f aca="false">Inputs!$B$67/12</f>
        <v>50000</v>
      </c>
      <c r="I14" s="42" t="n">
        <f aca="false">Inputs!$B$67/12</f>
        <v>50000</v>
      </c>
      <c r="J14" s="42" t="n">
        <f aca="false">Inputs!$B$67/12</f>
        <v>50000</v>
      </c>
      <c r="K14" s="42" t="n">
        <f aca="false">Inputs!$B$67/12</f>
        <v>50000</v>
      </c>
      <c r="L14" s="42" t="n">
        <f aca="false">Inputs!$B$67/12</f>
        <v>50000</v>
      </c>
      <c r="M14" s="42" t="n">
        <f aca="false">Inputs!$B$67/12</f>
        <v>50000</v>
      </c>
      <c r="N14" s="43" t="n">
        <f aca="false">Inputs!$B$67</f>
        <v>600000</v>
      </c>
    </row>
    <row r="15" customFormat="false" ht="15" hidden="false" customHeight="true" outlineLevel="0" collapsed="false">
      <c r="A15" s="38" t="s">
        <v>153</v>
      </c>
      <c r="B15" s="42" t="n">
        <f aca="false">Inputs!$B$68/12</f>
        <v>83333.3333333333</v>
      </c>
      <c r="C15" s="42" t="n">
        <f aca="false">Inputs!$B$68/12</f>
        <v>83333.3333333333</v>
      </c>
      <c r="D15" s="42" t="n">
        <f aca="false">Inputs!$B$68/12</f>
        <v>83333.3333333333</v>
      </c>
      <c r="E15" s="42" t="n">
        <f aca="false">Inputs!$B$68/12</f>
        <v>83333.3333333333</v>
      </c>
      <c r="F15" s="42" t="n">
        <f aca="false">Inputs!$B$68/12</f>
        <v>83333.3333333333</v>
      </c>
      <c r="G15" s="42" t="n">
        <f aca="false">Inputs!$B$68/12</f>
        <v>83333.3333333333</v>
      </c>
      <c r="H15" s="42" t="n">
        <f aca="false">Inputs!$B$68/12</f>
        <v>83333.3333333333</v>
      </c>
      <c r="I15" s="42" t="n">
        <f aca="false">Inputs!$B$68/12</f>
        <v>83333.3333333333</v>
      </c>
      <c r="J15" s="42" t="n">
        <f aca="false">Inputs!$B$68/12</f>
        <v>83333.3333333333</v>
      </c>
      <c r="K15" s="42" t="n">
        <f aca="false">Inputs!$B$68/12</f>
        <v>83333.3333333333</v>
      </c>
      <c r="L15" s="42" t="n">
        <f aca="false">Inputs!$B$68/12</f>
        <v>83333.3333333333</v>
      </c>
      <c r="M15" s="42" t="n">
        <f aca="false">Inputs!$B$68/12</f>
        <v>83333.3333333333</v>
      </c>
      <c r="N15" s="43" t="n">
        <f aca="false">Inputs!$B$68</f>
        <v>1000000</v>
      </c>
    </row>
    <row r="16" customFormat="false" ht="15" hidden="false" customHeight="true" outlineLevel="0" collapsed="false">
      <c r="A16" s="38" t="s">
        <v>199</v>
      </c>
      <c r="B16" s="17" t="n">
        <f aca="false">B5*0.05</f>
        <v>0</v>
      </c>
      <c r="C16" s="17" t="n">
        <f aca="false">C5*0.05</f>
        <v>33000</v>
      </c>
      <c r="D16" s="17" t="n">
        <f aca="false">D5*0.05</f>
        <v>49500</v>
      </c>
      <c r="E16" s="17" t="n">
        <f aca="false">E5*0.05</f>
        <v>66000</v>
      </c>
      <c r="F16" s="17" t="n">
        <f aca="false">F5*0.05</f>
        <v>99000</v>
      </c>
      <c r="G16" s="17" t="n">
        <f aca="false">G5*0.05</f>
        <v>115500</v>
      </c>
      <c r="H16" s="17" t="n">
        <f aca="false">H5*0.05</f>
        <v>132000</v>
      </c>
      <c r="I16" s="17" t="n">
        <f aca="false">I5*0.05</f>
        <v>148500</v>
      </c>
      <c r="J16" s="17" t="n">
        <f aca="false">J5*0.05</f>
        <v>165000</v>
      </c>
      <c r="K16" s="17" t="n">
        <f aca="false">K5*0.05</f>
        <v>181500</v>
      </c>
      <c r="L16" s="17" t="n">
        <f aca="false">L5*0.05</f>
        <v>198000</v>
      </c>
      <c r="M16" s="17" t="n">
        <f aca="false">M5*0.05</f>
        <v>214500</v>
      </c>
      <c r="N16" s="45" t="n">
        <f aca="false">SUM(B16:M16)</f>
        <v>1402500</v>
      </c>
    </row>
    <row r="17" customFormat="false" ht="15" hidden="false" customHeight="true" outlineLevel="0" collapsed="false">
      <c r="A17" s="46" t="s">
        <v>200</v>
      </c>
      <c r="B17" s="47" t="n">
        <f aca="false">SUM(B8:B16)</f>
        <v>2492333.33333333</v>
      </c>
      <c r="C17" s="47" t="n">
        <f aca="false">SUM(C8:C16)</f>
        <v>2811333.33333333</v>
      </c>
      <c r="D17" s="47" t="n">
        <f aca="false">SUM(D8:D16)</f>
        <v>3087833.33333333</v>
      </c>
      <c r="E17" s="47" t="n">
        <f aca="false">SUM(E8:E16)</f>
        <v>3104333.33333333</v>
      </c>
      <c r="F17" s="47" t="n">
        <f aca="false">SUM(F8:F16)</f>
        <v>3137333.33333333</v>
      </c>
      <c r="G17" s="47" t="n">
        <f aca="false">SUM(G8:G16)</f>
        <v>3348833.33333333</v>
      </c>
      <c r="H17" s="47" t="n">
        <f aca="false">SUM(H8:H16)</f>
        <v>3365333.33333333</v>
      </c>
      <c r="I17" s="47" t="n">
        <f aca="false">SUM(I8:I16)</f>
        <v>3836833.33333333</v>
      </c>
      <c r="J17" s="47" t="n">
        <f aca="false">SUM(J8:J16)</f>
        <v>3853333.33333333</v>
      </c>
      <c r="K17" s="47" t="n">
        <f aca="false">SUM(K8:K16)</f>
        <v>3869833.33333333</v>
      </c>
      <c r="L17" s="47" t="n">
        <f aca="false">SUM(L8:L16)</f>
        <v>3886333.33333333</v>
      </c>
      <c r="M17" s="47" t="n">
        <f aca="false">SUM(M8:M16)</f>
        <v>3902833.33333333</v>
      </c>
      <c r="N17" s="47" t="n">
        <f aca="false">SUM(B17:M17)</f>
        <v>40696500</v>
      </c>
    </row>
    <row r="19" customFormat="false" ht="15" hidden="false" customHeight="true" outlineLevel="0" collapsed="false">
      <c r="A19" s="22" t="s">
        <v>201</v>
      </c>
      <c r="B19" s="48" t="n">
        <f aca="false">B5-B17</f>
        <v>-2492333.33333333</v>
      </c>
      <c r="C19" s="48" t="n">
        <f aca="false">C5-C17</f>
        <v>-2151333.33333333</v>
      </c>
      <c r="D19" s="48" t="n">
        <f aca="false">D5-D17</f>
        <v>-2097833.33333333</v>
      </c>
      <c r="E19" s="48" t="n">
        <f aca="false">E5-E17</f>
        <v>-1784333.33333333</v>
      </c>
      <c r="F19" s="48" t="n">
        <f aca="false">F5-F17</f>
        <v>-1157333.33333333</v>
      </c>
      <c r="G19" s="48" t="n">
        <f aca="false">G5-G17</f>
        <v>-1038833.33333333</v>
      </c>
      <c r="H19" s="48" t="n">
        <f aca="false">H5-H17</f>
        <v>-725333.333333334</v>
      </c>
      <c r="I19" s="48" t="n">
        <f aca="false">I5-I17</f>
        <v>-866833.333333334</v>
      </c>
      <c r="J19" s="48" t="n">
        <f aca="false">J5-J17</f>
        <v>-553333.333333334</v>
      </c>
      <c r="K19" s="48" t="n">
        <f aca="false">K5-K17</f>
        <v>-239833.333333334</v>
      </c>
      <c r="L19" s="48" t="n">
        <f aca="false">L5-L17</f>
        <v>73666.6666666665</v>
      </c>
      <c r="M19" s="48" t="n">
        <f aca="false">M5-M17</f>
        <v>387166.666666667</v>
      </c>
      <c r="N19" s="47" t="n">
        <f aca="false">N5-N17</f>
        <v>-12646500</v>
      </c>
    </row>
    <row r="20" customFormat="false" ht="15" hidden="false" customHeight="true" outlineLevel="0" collapsed="false">
      <c r="A20" s="22" t="s">
        <v>202</v>
      </c>
      <c r="B20" s="48" t="n">
        <f aca="false">Inputs!$B$5+B19</f>
        <v>27507666.6666667</v>
      </c>
      <c r="C20" s="48" t="n">
        <f aca="false">B20+C19</f>
        <v>25356333.3333333</v>
      </c>
      <c r="D20" s="48" t="n">
        <f aca="false">C20+D19</f>
        <v>23258500</v>
      </c>
      <c r="E20" s="48" t="n">
        <f aca="false">D20+E19</f>
        <v>21474166.6666667</v>
      </c>
      <c r="F20" s="48" t="n">
        <f aca="false">E20+F19</f>
        <v>20316833.3333333</v>
      </c>
      <c r="G20" s="48" t="n">
        <f aca="false">F20+G19</f>
        <v>19278000</v>
      </c>
      <c r="H20" s="48" t="n">
        <f aca="false">G20+H19</f>
        <v>18552666.6666667</v>
      </c>
      <c r="I20" s="48" t="n">
        <f aca="false">H20+I19</f>
        <v>17685833.3333333</v>
      </c>
      <c r="J20" s="48" t="n">
        <f aca="false">I20+J19</f>
        <v>17132500</v>
      </c>
      <c r="K20" s="48" t="n">
        <f aca="false">J20+K19</f>
        <v>16892666.6666667</v>
      </c>
      <c r="L20" s="48" t="n">
        <f aca="false">K20+L19</f>
        <v>16966333.3333333</v>
      </c>
      <c r="M20" s="48" t="n">
        <f aca="false">L20+M19</f>
        <v>17353500</v>
      </c>
      <c r="N20" s="47" t="n">
        <f aca="false">M20</f>
        <v>17353500</v>
      </c>
    </row>
    <row r="21" customFormat="false" ht="15" hidden="false" customHeight="true" outlineLevel="0" collapsed="false">
      <c r="A21" s="49" t="s">
        <v>203</v>
      </c>
      <c r="B21" s="37" t="n">
        <f aca="false">Revenue!B10</f>
        <v>0</v>
      </c>
      <c r="C21" s="37" t="n">
        <f aca="false">Revenue!C10</f>
        <v>2</v>
      </c>
      <c r="D21" s="37" t="n">
        <f aca="false">Revenue!D10</f>
        <v>3</v>
      </c>
      <c r="E21" s="37" t="n">
        <f aca="false">Revenue!E10</f>
        <v>4</v>
      </c>
      <c r="F21" s="37" t="n">
        <f aca="false">Revenue!F10</f>
        <v>6</v>
      </c>
      <c r="G21" s="37" t="n">
        <f aca="false">Revenue!G10</f>
        <v>7</v>
      </c>
      <c r="H21" s="37" t="n">
        <f aca="false">Revenue!H10</f>
        <v>8</v>
      </c>
      <c r="I21" s="37" t="n">
        <f aca="false">Revenue!I10</f>
        <v>9</v>
      </c>
      <c r="J21" s="37" t="n">
        <f aca="false">Revenue!J10</f>
        <v>10</v>
      </c>
      <c r="K21" s="37" t="n">
        <f aca="false">Revenue!K10</f>
        <v>11</v>
      </c>
      <c r="L21" s="37" t="n">
        <f aca="false">Revenue!L10</f>
        <v>12</v>
      </c>
      <c r="M21" s="37" t="n">
        <f aca="false">Revenue!M10</f>
        <v>13</v>
      </c>
      <c r="N21" s="50" t="n">
        <f aca="false">SUM(B21:M21)</f>
        <v>85</v>
      </c>
    </row>
    <row r="23" customFormat="false" ht="15" hidden="false" customHeight="true" outlineLevel="0" collapsed="false">
      <c r="A23" s="31" t="s">
        <v>36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</row>
    <row r="24" customFormat="false" ht="15" hidden="false" customHeight="true" outlineLevel="0" collapsed="false">
      <c r="A24" s="22" t="s">
        <v>16</v>
      </c>
      <c r="B24" s="42" t="n">
        <f aca="false">Revenue!B20</f>
        <v>0</v>
      </c>
      <c r="C24" s="42" t="n">
        <f aca="false">Revenue!C20</f>
        <v>4320000</v>
      </c>
      <c r="D24" s="42" t="n">
        <f aca="false">Revenue!D20</f>
        <v>5760000</v>
      </c>
      <c r="E24" s="42" t="n">
        <f aca="false">Revenue!E20</f>
        <v>7200000</v>
      </c>
      <c r="F24" s="42" t="n">
        <f aca="false">Revenue!F20</f>
        <v>8640000</v>
      </c>
      <c r="G24" s="42" t="n">
        <f aca="false">Revenue!G20</f>
        <v>10440000</v>
      </c>
      <c r="H24" s="42" t="n">
        <f aca="false">Revenue!H20</f>
        <v>11880000</v>
      </c>
      <c r="I24" s="42" t="n">
        <f aca="false">Revenue!I20</f>
        <v>13320000</v>
      </c>
      <c r="J24" s="42" t="n">
        <f aca="false">Revenue!J20</f>
        <v>14760000</v>
      </c>
      <c r="K24" s="42" t="n">
        <f aca="false">Revenue!K20</f>
        <v>16200000</v>
      </c>
      <c r="L24" s="42" t="n">
        <f aca="false">Revenue!L20</f>
        <v>17640000</v>
      </c>
      <c r="M24" s="42" t="n">
        <f aca="false">Revenue!M20</f>
        <v>19440000</v>
      </c>
      <c r="N24" s="43" t="n">
        <f aca="false">Revenue!N20</f>
        <v>129600000</v>
      </c>
    </row>
    <row r="26" customFormat="false" ht="15" hidden="false" customHeight="true" outlineLevel="0" collapsed="false">
      <c r="A26" s="44" t="s">
        <v>192</v>
      </c>
    </row>
    <row r="27" customFormat="false" ht="15" hidden="false" customHeight="true" outlineLevel="0" collapsed="false">
      <c r="A27" s="38" t="s">
        <v>193</v>
      </c>
      <c r="B27" s="17" t="n">
        <f aca="false">SUMPRODUCT(Headcount!B18:B27,Inputs!$C$42:$C$51)*Inputs!$C$52</f>
        <v>1781000</v>
      </c>
      <c r="C27" s="17" t="n">
        <f aca="false">SUMPRODUCT(Headcount!C18:C27,Inputs!$C$42:$C$51)*Inputs!$C$52</f>
        <v>2925000</v>
      </c>
      <c r="D27" s="17" t="n">
        <f aca="false">SUMPRODUCT(Headcount!D18:D27,Inputs!$C$42:$C$51)*Inputs!$C$52</f>
        <v>3835000</v>
      </c>
      <c r="E27" s="17" t="n">
        <f aca="false">SUMPRODUCT(Headcount!E18:E27,Inputs!$C$42:$C$51)*Inputs!$C$52</f>
        <v>4069000</v>
      </c>
      <c r="F27" s="17" t="n">
        <f aca="false">SUMPRODUCT(Headcount!F18:F27,Inputs!$C$42:$C$51)*Inputs!$C$52</f>
        <v>4927000</v>
      </c>
      <c r="G27" s="17" t="n">
        <f aca="false">SUMPRODUCT(Headcount!G18:G27,Inputs!$C$42:$C$51)*Inputs!$C$52</f>
        <v>5252000</v>
      </c>
      <c r="H27" s="17" t="n">
        <f aca="false">SUMPRODUCT(Headcount!H18:H27,Inputs!$C$42:$C$51)*Inputs!$C$52</f>
        <v>5577000</v>
      </c>
      <c r="I27" s="17" t="n">
        <f aca="false">SUMPRODUCT(Headcount!I18:I27,Inputs!$C$42:$C$51)*Inputs!$C$52</f>
        <v>5577000</v>
      </c>
      <c r="J27" s="17" t="n">
        <f aca="false">SUMPRODUCT(Headcount!J18:J27,Inputs!$C$42:$C$51)*Inputs!$C$52</f>
        <v>5811000</v>
      </c>
      <c r="K27" s="17" t="n">
        <f aca="false">SUMPRODUCT(Headcount!K18:K27,Inputs!$C$42:$C$51)*Inputs!$C$52</f>
        <v>5811000</v>
      </c>
      <c r="L27" s="17" t="n">
        <f aca="false">SUMPRODUCT(Headcount!L18:L27,Inputs!$C$42:$C$51)*Inputs!$C$52</f>
        <v>5811000</v>
      </c>
      <c r="M27" s="17" t="n">
        <f aca="false">SUMPRODUCT(Headcount!M18:M27,Inputs!$C$42:$C$51)*Inputs!$C$52</f>
        <v>5811000</v>
      </c>
      <c r="N27" s="45" t="n">
        <f aca="false">SUM(B27:M27)</f>
        <v>57187000</v>
      </c>
    </row>
    <row r="28" customFormat="false" ht="15" hidden="false" customHeight="true" outlineLevel="0" collapsed="false">
      <c r="A28" s="38" t="s">
        <v>194</v>
      </c>
      <c r="B28" s="42" t="n">
        <f aca="false">Inputs!$C$55/12</f>
        <v>5000000</v>
      </c>
      <c r="C28" s="42" t="n">
        <f aca="false">Inputs!$C$55/12</f>
        <v>5000000</v>
      </c>
      <c r="D28" s="42" t="n">
        <f aca="false">Inputs!$C$55/12</f>
        <v>5000000</v>
      </c>
      <c r="E28" s="42" t="n">
        <f aca="false">Inputs!$C$55/12</f>
        <v>5000000</v>
      </c>
      <c r="F28" s="42" t="n">
        <f aca="false">Inputs!$C$55/12</f>
        <v>5000000</v>
      </c>
      <c r="G28" s="42" t="n">
        <f aca="false">Inputs!$C$55/12</f>
        <v>5000000</v>
      </c>
      <c r="H28" s="42" t="n">
        <f aca="false">Inputs!$C$55/12</f>
        <v>5000000</v>
      </c>
      <c r="I28" s="42" t="n">
        <f aca="false">Inputs!$C$55/12</f>
        <v>5000000</v>
      </c>
      <c r="J28" s="42" t="n">
        <f aca="false">Inputs!$C$55/12</f>
        <v>5000000</v>
      </c>
      <c r="K28" s="42" t="n">
        <f aca="false">Inputs!$C$55/12</f>
        <v>5000000</v>
      </c>
      <c r="L28" s="42" t="n">
        <f aca="false">Inputs!$C$55/12</f>
        <v>5000000</v>
      </c>
      <c r="M28" s="42" t="n">
        <f aca="false">Inputs!$C$55/12</f>
        <v>5000000</v>
      </c>
      <c r="N28" s="43" t="n">
        <f aca="false">Inputs!$C$55</f>
        <v>60000000</v>
      </c>
    </row>
    <row r="29" customFormat="false" ht="15" hidden="false" customHeight="true" outlineLevel="0" collapsed="false">
      <c r="A29" s="38" t="s">
        <v>195</v>
      </c>
      <c r="B29" s="42" t="n">
        <f aca="false">Inputs!$C$63/12</f>
        <v>500000</v>
      </c>
      <c r="C29" s="42" t="n">
        <f aca="false">Inputs!$C$63/12</f>
        <v>500000</v>
      </c>
      <c r="D29" s="42" t="n">
        <f aca="false">Inputs!$C$63/12</f>
        <v>500000</v>
      </c>
      <c r="E29" s="42" t="n">
        <f aca="false">Inputs!$C$63/12</f>
        <v>500000</v>
      </c>
      <c r="F29" s="42" t="n">
        <f aca="false">Inputs!$C$63/12</f>
        <v>500000</v>
      </c>
      <c r="G29" s="42" t="n">
        <f aca="false">Inputs!$C$63/12</f>
        <v>500000</v>
      </c>
      <c r="H29" s="42" t="n">
        <f aca="false">Inputs!$C$63/12</f>
        <v>500000</v>
      </c>
      <c r="I29" s="42" t="n">
        <f aca="false">Inputs!$C$63/12</f>
        <v>500000</v>
      </c>
      <c r="J29" s="42" t="n">
        <f aca="false">Inputs!$C$63/12</f>
        <v>500000</v>
      </c>
      <c r="K29" s="42" t="n">
        <f aca="false">Inputs!$C$63/12</f>
        <v>500000</v>
      </c>
      <c r="L29" s="42" t="n">
        <f aca="false">Inputs!$C$63/12</f>
        <v>500000</v>
      </c>
      <c r="M29" s="42" t="n">
        <f aca="false">Inputs!$C$63/12</f>
        <v>500000</v>
      </c>
      <c r="N29" s="43" t="n">
        <f aca="false">Inputs!$C$63</f>
        <v>6000000</v>
      </c>
    </row>
    <row r="30" customFormat="false" ht="15" hidden="false" customHeight="true" outlineLevel="0" collapsed="false">
      <c r="A30" s="38" t="s">
        <v>196</v>
      </c>
      <c r="B30" s="42" t="n">
        <f aca="false">Inputs!$C$65/12</f>
        <v>400000</v>
      </c>
      <c r="C30" s="42" t="n">
        <f aca="false">Inputs!$C$65/12</f>
        <v>400000</v>
      </c>
      <c r="D30" s="42" t="n">
        <f aca="false">Inputs!$C$65/12</f>
        <v>400000</v>
      </c>
      <c r="E30" s="42" t="n">
        <f aca="false">Inputs!$C$65/12</f>
        <v>400000</v>
      </c>
      <c r="F30" s="42" t="n">
        <f aca="false">Inputs!$C$65/12</f>
        <v>400000</v>
      </c>
      <c r="G30" s="42" t="n">
        <f aca="false">Inputs!$C$65/12</f>
        <v>400000</v>
      </c>
      <c r="H30" s="42" t="n">
        <f aca="false">Inputs!$C$65/12</f>
        <v>400000</v>
      </c>
      <c r="I30" s="42" t="n">
        <f aca="false">Inputs!$C$65/12</f>
        <v>400000</v>
      </c>
      <c r="J30" s="42" t="n">
        <f aca="false">Inputs!$C$65/12</f>
        <v>400000</v>
      </c>
      <c r="K30" s="42" t="n">
        <f aca="false">Inputs!$C$65/12</f>
        <v>400000</v>
      </c>
      <c r="L30" s="42" t="n">
        <f aca="false">Inputs!$C$65/12</f>
        <v>400000</v>
      </c>
      <c r="M30" s="42" t="n">
        <f aca="false">Inputs!$C$65/12</f>
        <v>400000</v>
      </c>
      <c r="N30" s="43" t="n">
        <f aca="false">Inputs!$C$65</f>
        <v>4800000</v>
      </c>
    </row>
    <row r="31" customFormat="false" ht="15" hidden="false" customHeight="true" outlineLevel="0" collapsed="false">
      <c r="A31" s="38" t="s">
        <v>197</v>
      </c>
      <c r="B31" s="42" t="n">
        <f aca="false">Inputs!$C$66/12</f>
        <v>333333.333333333</v>
      </c>
      <c r="C31" s="42" t="n">
        <f aca="false">Inputs!$C$66/12</f>
        <v>333333.333333333</v>
      </c>
      <c r="D31" s="42" t="n">
        <f aca="false">Inputs!$C$66/12</f>
        <v>333333.333333333</v>
      </c>
      <c r="E31" s="42" t="n">
        <f aca="false">Inputs!$C$66/12</f>
        <v>333333.333333333</v>
      </c>
      <c r="F31" s="42" t="n">
        <f aca="false">Inputs!$C$66/12</f>
        <v>333333.333333333</v>
      </c>
      <c r="G31" s="42" t="n">
        <f aca="false">Inputs!$C$66/12</f>
        <v>333333.333333333</v>
      </c>
      <c r="H31" s="42" t="n">
        <f aca="false">Inputs!$C$66/12</f>
        <v>333333.333333333</v>
      </c>
      <c r="I31" s="42" t="n">
        <f aca="false">Inputs!$C$66/12</f>
        <v>333333.333333333</v>
      </c>
      <c r="J31" s="42" t="n">
        <f aca="false">Inputs!$C$66/12</f>
        <v>333333.333333333</v>
      </c>
      <c r="K31" s="42" t="n">
        <f aca="false">Inputs!$C$66/12</f>
        <v>333333.333333333</v>
      </c>
      <c r="L31" s="42" t="n">
        <f aca="false">Inputs!$C$66/12</f>
        <v>333333.333333333</v>
      </c>
      <c r="M31" s="42" t="n">
        <f aca="false">Inputs!$C$66/12</f>
        <v>333333.333333333</v>
      </c>
      <c r="N31" s="43" t="n">
        <f aca="false">Inputs!$C$66</f>
        <v>4000000</v>
      </c>
    </row>
    <row r="32" customFormat="false" ht="15" hidden="false" customHeight="true" outlineLevel="0" collapsed="false">
      <c r="A32" s="38" t="s">
        <v>146</v>
      </c>
      <c r="B32" s="42" t="n">
        <f aca="false">Inputs!$C$64/12</f>
        <v>250000</v>
      </c>
      <c r="C32" s="42" t="n">
        <f aca="false">Inputs!$C$64/12</f>
        <v>250000</v>
      </c>
      <c r="D32" s="42" t="n">
        <f aca="false">Inputs!$C$64/12</f>
        <v>250000</v>
      </c>
      <c r="E32" s="42" t="n">
        <f aca="false">Inputs!$C$64/12</f>
        <v>250000</v>
      </c>
      <c r="F32" s="42" t="n">
        <f aca="false">Inputs!$C$64/12</f>
        <v>250000</v>
      </c>
      <c r="G32" s="42" t="n">
        <f aca="false">Inputs!$C$64/12</f>
        <v>250000</v>
      </c>
      <c r="H32" s="42" t="n">
        <f aca="false">Inputs!$C$64/12</f>
        <v>250000</v>
      </c>
      <c r="I32" s="42" t="n">
        <f aca="false">Inputs!$C$64/12</f>
        <v>250000</v>
      </c>
      <c r="J32" s="42" t="n">
        <f aca="false">Inputs!$C$64/12</f>
        <v>250000</v>
      </c>
      <c r="K32" s="42" t="n">
        <f aca="false">Inputs!$C$64/12</f>
        <v>250000</v>
      </c>
      <c r="L32" s="42" t="n">
        <f aca="false">Inputs!$C$64/12</f>
        <v>250000</v>
      </c>
      <c r="M32" s="42" t="n">
        <f aca="false">Inputs!$C$64/12</f>
        <v>250000</v>
      </c>
      <c r="N32" s="43" t="n">
        <f aca="false">Inputs!$C$64</f>
        <v>3000000</v>
      </c>
    </row>
    <row r="33" customFormat="false" ht="15" hidden="false" customHeight="true" outlineLevel="0" collapsed="false">
      <c r="A33" s="38" t="s">
        <v>198</v>
      </c>
      <c r="B33" s="42" t="n">
        <f aca="false">Inputs!$C$67/12</f>
        <v>100000</v>
      </c>
      <c r="C33" s="42" t="n">
        <f aca="false">Inputs!$C$67/12</f>
        <v>100000</v>
      </c>
      <c r="D33" s="42" t="n">
        <f aca="false">Inputs!$C$67/12</f>
        <v>100000</v>
      </c>
      <c r="E33" s="42" t="n">
        <f aca="false">Inputs!$C$67/12</f>
        <v>100000</v>
      </c>
      <c r="F33" s="42" t="n">
        <f aca="false">Inputs!$C$67/12</f>
        <v>100000</v>
      </c>
      <c r="G33" s="42" t="n">
        <f aca="false">Inputs!$C$67/12</f>
        <v>100000</v>
      </c>
      <c r="H33" s="42" t="n">
        <f aca="false">Inputs!$C$67/12</f>
        <v>100000</v>
      </c>
      <c r="I33" s="42" t="n">
        <f aca="false">Inputs!$C$67/12</f>
        <v>100000</v>
      </c>
      <c r="J33" s="42" t="n">
        <f aca="false">Inputs!$C$67/12</f>
        <v>100000</v>
      </c>
      <c r="K33" s="42" t="n">
        <f aca="false">Inputs!$C$67/12</f>
        <v>100000</v>
      </c>
      <c r="L33" s="42" t="n">
        <f aca="false">Inputs!$C$67/12</f>
        <v>100000</v>
      </c>
      <c r="M33" s="42" t="n">
        <f aca="false">Inputs!$C$67/12</f>
        <v>100000</v>
      </c>
      <c r="N33" s="43" t="n">
        <f aca="false">Inputs!$C$67</f>
        <v>1200000</v>
      </c>
    </row>
    <row r="34" customFormat="false" ht="15" hidden="false" customHeight="true" outlineLevel="0" collapsed="false">
      <c r="A34" s="38" t="s">
        <v>153</v>
      </c>
      <c r="B34" s="42" t="n">
        <f aca="false">Inputs!$C$68/12</f>
        <v>250000</v>
      </c>
      <c r="C34" s="42" t="n">
        <f aca="false">Inputs!$C$68/12</f>
        <v>250000</v>
      </c>
      <c r="D34" s="42" t="n">
        <f aca="false">Inputs!$C$68/12</f>
        <v>250000</v>
      </c>
      <c r="E34" s="42" t="n">
        <f aca="false">Inputs!$C$68/12</f>
        <v>250000</v>
      </c>
      <c r="F34" s="42" t="n">
        <f aca="false">Inputs!$C$68/12</f>
        <v>250000</v>
      </c>
      <c r="G34" s="42" t="n">
        <f aca="false">Inputs!$C$68/12</f>
        <v>250000</v>
      </c>
      <c r="H34" s="42" t="n">
        <f aca="false">Inputs!$C$68/12</f>
        <v>250000</v>
      </c>
      <c r="I34" s="42" t="n">
        <f aca="false">Inputs!$C$68/12</f>
        <v>250000</v>
      </c>
      <c r="J34" s="42" t="n">
        <f aca="false">Inputs!$C$68/12</f>
        <v>250000</v>
      </c>
      <c r="K34" s="42" t="n">
        <f aca="false">Inputs!$C$68/12</f>
        <v>250000</v>
      </c>
      <c r="L34" s="42" t="n">
        <f aca="false">Inputs!$C$68/12</f>
        <v>250000</v>
      </c>
      <c r="M34" s="42" t="n">
        <f aca="false">Inputs!$C$68/12</f>
        <v>250000</v>
      </c>
      <c r="N34" s="43" t="n">
        <f aca="false">Inputs!$C$68</f>
        <v>3000000</v>
      </c>
    </row>
    <row r="35" customFormat="false" ht="15" hidden="false" customHeight="true" outlineLevel="0" collapsed="false">
      <c r="A35" s="38" t="s">
        <v>199</v>
      </c>
      <c r="B35" s="17" t="n">
        <f aca="false">B24*0.05</f>
        <v>0</v>
      </c>
      <c r="C35" s="17" t="n">
        <f aca="false">C24*0.05</f>
        <v>216000</v>
      </c>
      <c r="D35" s="17" t="n">
        <f aca="false">D24*0.05</f>
        <v>288000</v>
      </c>
      <c r="E35" s="17" t="n">
        <f aca="false">E24*0.05</f>
        <v>360000</v>
      </c>
      <c r="F35" s="17" t="n">
        <f aca="false">F24*0.05</f>
        <v>432000</v>
      </c>
      <c r="G35" s="17" t="n">
        <f aca="false">G24*0.05</f>
        <v>522000</v>
      </c>
      <c r="H35" s="17" t="n">
        <f aca="false">H24*0.05</f>
        <v>594000</v>
      </c>
      <c r="I35" s="17" t="n">
        <f aca="false">I24*0.05</f>
        <v>666000</v>
      </c>
      <c r="J35" s="17" t="n">
        <f aca="false">J24*0.05</f>
        <v>738000</v>
      </c>
      <c r="K35" s="17" t="n">
        <f aca="false">K24*0.05</f>
        <v>810000</v>
      </c>
      <c r="L35" s="17" t="n">
        <f aca="false">L24*0.05</f>
        <v>882000</v>
      </c>
      <c r="M35" s="17" t="n">
        <f aca="false">M24*0.05</f>
        <v>972000</v>
      </c>
      <c r="N35" s="45" t="n">
        <f aca="false">SUM(B35:M35)</f>
        <v>6480000</v>
      </c>
    </row>
    <row r="36" customFormat="false" ht="15" hidden="false" customHeight="true" outlineLevel="0" collapsed="false">
      <c r="A36" s="46" t="s">
        <v>200</v>
      </c>
      <c r="B36" s="47" t="n">
        <f aca="false">SUM(B27:B35)</f>
        <v>8614333.33333333</v>
      </c>
      <c r="C36" s="47" t="n">
        <f aca="false">SUM(C27:C35)</f>
        <v>9974333.33333333</v>
      </c>
      <c r="D36" s="47" t="n">
        <f aca="false">SUM(D27:D35)</f>
        <v>10956333.3333333</v>
      </c>
      <c r="E36" s="47" t="n">
        <f aca="false">SUM(E27:E35)</f>
        <v>11262333.3333333</v>
      </c>
      <c r="F36" s="47" t="n">
        <f aca="false">SUM(F27:F35)</f>
        <v>12192333.3333333</v>
      </c>
      <c r="G36" s="47" t="n">
        <f aca="false">SUM(G27:G35)</f>
        <v>12607333.3333333</v>
      </c>
      <c r="H36" s="47" t="n">
        <f aca="false">SUM(H27:H35)</f>
        <v>13004333.3333333</v>
      </c>
      <c r="I36" s="47" t="n">
        <f aca="false">SUM(I27:I35)</f>
        <v>13076333.3333333</v>
      </c>
      <c r="J36" s="47" t="n">
        <f aca="false">SUM(J27:J35)</f>
        <v>13382333.3333333</v>
      </c>
      <c r="K36" s="47" t="n">
        <f aca="false">SUM(K27:K35)</f>
        <v>13454333.3333333</v>
      </c>
      <c r="L36" s="47" t="n">
        <f aca="false">SUM(L27:L35)</f>
        <v>13526333.3333333</v>
      </c>
      <c r="M36" s="47" t="n">
        <f aca="false">SUM(M27:M35)</f>
        <v>13616333.3333333</v>
      </c>
      <c r="N36" s="47" t="n">
        <f aca="false">SUM(B36:M36)</f>
        <v>145667000</v>
      </c>
    </row>
    <row r="38" customFormat="false" ht="15" hidden="false" customHeight="true" outlineLevel="0" collapsed="false">
      <c r="A38" s="22" t="s">
        <v>201</v>
      </c>
      <c r="B38" s="48" t="n">
        <f aca="false">B24-B36</f>
        <v>-8614333.33333333</v>
      </c>
      <c r="C38" s="48" t="n">
        <f aca="false">C24-C36</f>
        <v>-5654333.33333333</v>
      </c>
      <c r="D38" s="48" t="n">
        <f aca="false">D24-D36</f>
        <v>-5196333.33333333</v>
      </c>
      <c r="E38" s="48" t="n">
        <f aca="false">E24-E36</f>
        <v>-4062333.33333333</v>
      </c>
      <c r="F38" s="48" t="n">
        <f aca="false">F24-F36</f>
        <v>-3552333.33333333</v>
      </c>
      <c r="G38" s="48" t="n">
        <f aca="false">G24-G36</f>
        <v>-2167333.33333333</v>
      </c>
      <c r="H38" s="48" t="n">
        <f aca="false">H24-H36</f>
        <v>-1124333.33333333</v>
      </c>
      <c r="I38" s="48" t="n">
        <f aca="false">I24-I36</f>
        <v>243666.666666666</v>
      </c>
      <c r="J38" s="48" t="n">
        <f aca="false">J24-J36</f>
        <v>1377666.66666667</v>
      </c>
      <c r="K38" s="48" t="n">
        <f aca="false">K24-K36</f>
        <v>2745666.66666667</v>
      </c>
      <c r="L38" s="48" t="n">
        <f aca="false">L24-L36</f>
        <v>4113666.66666667</v>
      </c>
      <c r="M38" s="48" t="n">
        <f aca="false">M24-M36</f>
        <v>5823666.66666667</v>
      </c>
      <c r="N38" s="47" t="n">
        <f aca="false">N24-N36</f>
        <v>-16067000</v>
      </c>
    </row>
    <row r="39" customFormat="false" ht="15" hidden="false" customHeight="true" outlineLevel="0" collapsed="false">
      <c r="A39" s="22" t="s">
        <v>202</v>
      </c>
      <c r="B39" s="48" t="n">
        <f aca="false">Inputs!$C$5+B38</f>
        <v>171385666.666667</v>
      </c>
      <c r="C39" s="48" t="n">
        <f aca="false">B39+C38</f>
        <v>165731333.333333</v>
      </c>
      <c r="D39" s="48" t="n">
        <f aca="false">C39+D38</f>
        <v>160535000</v>
      </c>
      <c r="E39" s="48" t="n">
        <f aca="false">D39+E38</f>
        <v>156472666.666667</v>
      </c>
      <c r="F39" s="48" t="n">
        <f aca="false">E39+F38</f>
        <v>152920333.333333</v>
      </c>
      <c r="G39" s="48" t="n">
        <f aca="false">F39+G38</f>
        <v>150753000</v>
      </c>
      <c r="H39" s="48" t="n">
        <f aca="false">G39+H38</f>
        <v>149628666.666667</v>
      </c>
      <c r="I39" s="48" t="n">
        <f aca="false">H39+I38</f>
        <v>149872333.333333</v>
      </c>
      <c r="J39" s="48" t="n">
        <f aca="false">I39+J38</f>
        <v>151250000</v>
      </c>
      <c r="K39" s="48" t="n">
        <f aca="false">J39+K38</f>
        <v>153995666.666667</v>
      </c>
      <c r="L39" s="48" t="n">
        <f aca="false">K39+L38</f>
        <v>158109333.333333</v>
      </c>
      <c r="M39" s="48" t="n">
        <f aca="false">L39+M38</f>
        <v>163933000</v>
      </c>
      <c r="N39" s="47" t="n">
        <f aca="false">M39</f>
        <v>163933000</v>
      </c>
    </row>
    <row r="40" customFormat="false" ht="15" hidden="false" customHeight="true" outlineLevel="0" collapsed="false">
      <c r="A40" s="49" t="s">
        <v>203</v>
      </c>
      <c r="B40" s="37" t="n">
        <f aca="false">Revenue!B19</f>
        <v>0</v>
      </c>
      <c r="C40" s="37" t="n">
        <f aca="false">Revenue!C19</f>
        <v>12</v>
      </c>
      <c r="D40" s="37" t="n">
        <f aca="false">Revenue!D19</f>
        <v>16</v>
      </c>
      <c r="E40" s="37" t="n">
        <f aca="false">Revenue!E19</f>
        <v>20</v>
      </c>
      <c r="F40" s="37" t="n">
        <f aca="false">Revenue!F19</f>
        <v>24</v>
      </c>
      <c r="G40" s="37" t="n">
        <f aca="false">Revenue!G19</f>
        <v>29</v>
      </c>
      <c r="H40" s="37" t="n">
        <f aca="false">Revenue!H19</f>
        <v>33</v>
      </c>
      <c r="I40" s="37" t="n">
        <f aca="false">Revenue!I19</f>
        <v>37</v>
      </c>
      <c r="J40" s="37" t="n">
        <f aca="false">Revenue!J19</f>
        <v>41</v>
      </c>
      <c r="K40" s="37" t="n">
        <f aca="false">Revenue!K19</f>
        <v>45</v>
      </c>
      <c r="L40" s="37" t="n">
        <f aca="false">Revenue!L19</f>
        <v>49</v>
      </c>
      <c r="M40" s="37" t="n">
        <f aca="false">Revenue!M19</f>
        <v>54</v>
      </c>
      <c r="N40" s="50" t="n">
        <f aca="false">SUM(B40:M40)</f>
        <v>360</v>
      </c>
    </row>
    <row r="42" customFormat="false" ht="15" hidden="false" customHeight="true" outlineLevel="0" collapsed="false">
      <c r="A42" s="34" t="s">
        <v>38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</row>
    <row r="43" customFormat="false" ht="15" hidden="false" customHeight="true" outlineLevel="0" collapsed="false">
      <c r="A43" s="22" t="s">
        <v>16</v>
      </c>
      <c r="B43" s="42" t="n">
        <f aca="false">Revenue!B29</f>
        <v>0</v>
      </c>
      <c r="C43" s="42" t="n">
        <f aca="false">Revenue!C29</f>
        <v>12920000</v>
      </c>
      <c r="D43" s="42" t="n">
        <f aca="false">Revenue!D29</f>
        <v>17100000</v>
      </c>
      <c r="E43" s="42" t="n">
        <f aca="false">Revenue!E29</f>
        <v>21280000</v>
      </c>
      <c r="F43" s="42" t="n">
        <f aca="false">Revenue!F29</f>
        <v>25840000</v>
      </c>
      <c r="G43" s="42" t="n">
        <f aca="false">Revenue!G29</f>
        <v>30020000</v>
      </c>
      <c r="H43" s="42" t="n">
        <f aca="false">Revenue!H29</f>
        <v>34200000</v>
      </c>
      <c r="I43" s="42" t="n">
        <f aca="false">Revenue!I29</f>
        <v>38380000</v>
      </c>
      <c r="J43" s="42" t="n">
        <f aca="false">Revenue!J29</f>
        <v>42940000</v>
      </c>
      <c r="K43" s="42" t="n">
        <f aca="false">Revenue!K29</f>
        <v>47120000</v>
      </c>
      <c r="L43" s="42" t="n">
        <f aca="false">Revenue!L29</f>
        <v>51300000</v>
      </c>
      <c r="M43" s="42" t="n">
        <f aca="false">Revenue!M29</f>
        <v>55480000</v>
      </c>
      <c r="N43" s="43" t="n">
        <f aca="false">Revenue!N29</f>
        <v>376580000</v>
      </c>
    </row>
    <row r="45" customFormat="false" ht="15" hidden="false" customHeight="true" outlineLevel="0" collapsed="false">
      <c r="A45" s="44" t="s">
        <v>192</v>
      </c>
    </row>
    <row r="46" customFormat="false" ht="15" hidden="false" customHeight="true" outlineLevel="0" collapsed="false">
      <c r="A46" s="38" t="s">
        <v>193</v>
      </c>
      <c r="B46" s="17" t="n">
        <f aca="false">SUMPRODUCT(Headcount!B31:B40,Inputs!$D$42:$D$51)*Inputs!$D$52</f>
        <v>3354000</v>
      </c>
      <c r="C46" s="17" t="n">
        <f aca="false">SUMPRODUCT(Headcount!C31:C40,Inputs!$D$42:$D$51)*Inputs!$D$52</f>
        <v>4888000</v>
      </c>
      <c r="D46" s="17" t="n">
        <f aca="false">SUMPRODUCT(Headcount!D31:D40,Inputs!$D$42:$D$51)*Inputs!$D$52</f>
        <v>6448000</v>
      </c>
      <c r="E46" s="17" t="n">
        <f aca="false">SUMPRODUCT(Headcount!E31:E40,Inputs!$D$42:$D$51)*Inputs!$D$52</f>
        <v>6812000</v>
      </c>
      <c r="F46" s="17" t="n">
        <f aca="false">SUMPRODUCT(Headcount!F31:F40,Inputs!$D$42:$D$51)*Inputs!$D$52</f>
        <v>7982000</v>
      </c>
      <c r="G46" s="17" t="n">
        <f aca="false">SUMPRODUCT(Headcount!G31:G40,Inputs!$D$42:$D$51)*Inputs!$D$52</f>
        <v>8632000</v>
      </c>
      <c r="H46" s="17" t="n">
        <f aca="false">SUMPRODUCT(Headcount!H31:H40,Inputs!$D$42:$D$51)*Inputs!$D$52</f>
        <v>9516000</v>
      </c>
      <c r="I46" s="17" t="n">
        <f aca="false">SUMPRODUCT(Headcount!I31:I40,Inputs!$D$42:$D$51)*Inputs!$D$52</f>
        <v>9841000</v>
      </c>
      <c r="J46" s="17" t="n">
        <f aca="false">SUMPRODUCT(Headcount!J31:J40,Inputs!$D$42:$D$51)*Inputs!$D$52</f>
        <v>10647000</v>
      </c>
      <c r="K46" s="17" t="n">
        <f aca="false">SUMPRODUCT(Headcount!K31:K40,Inputs!$D$42:$D$51)*Inputs!$D$52</f>
        <v>10647000</v>
      </c>
      <c r="L46" s="17" t="n">
        <f aca="false">SUMPRODUCT(Headcount!L31:L40,Inputs!$D$42:$D$51)*Inputs!$D$52</f>
        <v>10647000</v>
      </c>
      <c r="M46" s="17" t="n">
        <f aca="false">SUMPRODUCT(Headcount!M31:M40,Inputs!$D$42:$D$51)*Inputs!$D$52</f>
        <v>10647000</v>
      </c>
      <c r="N46" s="45" t="n">
        <f aca="false">SUM(B46:M46)</f>
        <v>100061000</v>
      </c>
    </row>
    <row r="47" customFormat="false" ht="15" hidden="false" customHeight="true" outlineLevel="0" collapsed="false">
      <c r="A47" s="38" t="s">
        <v>194</v>
      </c>
      <c r="B47" s="42" t="n">
        <f aca="false">Inputs!$D$55/12</f>
        <v>11666666.6666667</v>
      </c>
      <c r="C47" s="42" t="n">
        <f aca="false">Inputs!$D$55/12</f>
        <v>11666666.6666667</v>
      </c>
      <c r="D47" s="42" t="n">
        <f aca="false">Inputs!$D$55/12</f>
        <v>11666666.6666667</v>
      </c>
      <c r="E47" s="42" t="n">
        <f aca="false">Inputs!$D$55/12</f>
        <v>11666666.6666667</v>
      </c>
      <c r="F47" s="42" t="n">
        <f aca="false">Inputs!$D$55/12</f>
        <v>11666666.6666667</v>
      </c>
      <c r="G47" s="42" t="n">
        <f aca="false">Inputs!$D$55/12</f>
        <v>11666666.6666667</v>
      </c>
      <c r="H47" s="42" t="n">
        <f aca="false">Inputs!$D$55/12</f>
        <v>11666666.6666667</v>
      </c>
      <c r="I47" s="42" t="n">
        <f aca="false">Inputs!$D$55/12</f>
        <v>11666666.6666667</v>
      </c>
      <c r="J47" s="42" t="n">
        <f aca="false">Inputs!$D$55/12</f>
        <v>11666666.6666667</v>
      </c>
      <c r="K47" s="42" t="n">
        <f aca="false">Inputs!$D$55/12</f>
        <v>11666666.6666667</v>
      </c>
      <c r="L47" s="42" t="n">
        <f aca="false">Inputs!$D$55/12</f>
        <v>11666666.6666667</v>
      </c>
      <c r="M47" s="42" t="n">
        <f aca="false">Inputs!$D$55/12</f>
        <v>11666666.6666667</v>
      </c>
      <c r="N47" s="43" t="n">
        <f aca="false">Inputs!$D$55</f>
        <v>140000000</v>
      </c>
    </row>
    <row r="48" customFormat="false" ht="15" hidden="false" customHeight="true" outlineLevel="0" collapsed="false">
      <c r="A48" s="38" t="s">
        <v>195</v>
      </c>
      <c r="B48" s="42" t="n">
        <f aca="false">Inputs!$D$63/12</f>
        <v>1000000</v>
      </c>
      <c r="C48" s="42" t="n">
        <f aca="false">Inputs!$D$63/12</f>
        <v>1000000</v>
      </c>
      <c r="D48" s="42" t="n">
        <f aca="false">Inputs!$D$63/12</f>
        <v>1000000</v>
      </c>
      <c r="E48" s="42" t="n">
        <f aca="false">Inputs!$D$63/12</f>
        <v>1000000</v>
      </c>
      <c r="F48" s="42" t="n">
        <f aca="false">Inputs!$D$63/12</f>
        <v>1000000</v>
      </c>
      <c r="G48" s="42" t="n">
        <f aca="false">Inputs!$D$63/12</f>
        <v>1000000</v>
      </c>
      <c r="H48" s="42" t="n">
        <f aca="false">Inputs!$D$63/12</f>
        <v>1000000</v>
      </c>
      <c r="I48" s="42" t="n">
        <f aca="false">Inputs!$D$63/12</f>
        <v>1000000</v>
      </c>
      <c r="J48" s="42" t="n">
        <f aca="false">Inputs!$D$63/12</f>
        <v>1000000</v>
      </c>
      <c r="K48" s="42" t="n">
        <f aca="false">Inputs!$D$63/12</f>
        <v>1000000</v>
      </c>
      <c r="L48" s="42" t="n">
        <f aca="false">Inputs!$D$63/12</f>
        <v>1000000</v>
      </c>
      <c r="M48" s="42" t="n">
        <f aca="false">Inputs!$D$63/12</f>
        <v>1000000</v>
      </c>
      <c r="N48" s="43" t="n">
        <f aca="false">Inputs!$D$63</f>
        <v>12000000</v>
      </c>
    </row>
    <row r="49" customFormat="false" ht="15" hidden="false" customHeight="true" outlineLevel="0" collapsed="false">
      <c r="A49" s="38" t="s">
        <v>196</v>
      </c>
      <c r="B49" s="42" t="n">
        <f aca="false">Inputs!$D$65/12</f>
        <v>800000</v>
      </c>
      <c r="C49" s="42" t="n">
        <f aca="false">Inputs!$D$65/12</f>
        <v>800000</v>
      </c>
      <c r="D49" s="42" t="n">
        <f aca="false">Inputs!$D$65/12</f>
        <v>800000</v>
      </c>
      <c r="E49" s="42" t="n">
        <f aca="false">Inputs!$D$65/12</f>
        <v>800000</v>
      </c>
      <c r="F49" s="42" t="n">
        <f aca="false">Inputs!$D$65/12</f>
        <v>800000</v>
      </c>
      <c r="G49" s="42" t="n">
        <f aca="false">Inputs!$D$65/12</f>
        <v>800000</v>
      </c>
      <c r="H49" s="42" t="n">
        <f aca="false">Inputs!$D$65/12</f>
        <v>800000</v>
      </c>
      <c r="I49" s="42" t="n">
        <f aca="false">Inputs!$D$65/12</f>
        <v>800000</v>
      </c>
      <c r="J49" s="42" t="n">
        <f aca="false">Inputs!$D$65/12</f>
        <v>800000</v>
      </c>
      <c r="K49" s="42" t="n">
        <f aca="false">Inputs!$D$65/12</f>
        <v>800000</v>
      </c>
      <c r="L49" s="42" t="n">
        <f aca="false">Inputs!$D$65/12</f>
        <v>800000</v>
      </c>
      <c r="M49" s="42" t="n">
        <f aca="false">Inputs!$D$65/12</f>
        <v>800000</v>
      </c>
      <c r="N49" s="43" t="n">
        <f aca="false">Inputs!$D$65</f>
        <v>9600000</v>
      </c>
    </row>
    <row r="50" customFormat="false" ht="15" hidden="false" customHeight="true" outlineLevel="0" collapsed="false">
      <c r="A50" s="38" t="s">
        <v>197</v>
      </c>
      <c r="B50" s="42" t="n">
        <f aca="false">Inputs!$D$66/12</f>
        <v>666666.666666667</v>
      </c>
      <c r="C50" s="42" t="n">
        <f aca="false">Inputs!$D$66/12</f>
        <v>666666.666666667</v>
      </c>
      <c r="D50" s="42" t="n">
        <f aca="false">Inputs!$D$66/12</f>
        <v>666666.666666667</v>
      </c>
      <c r="E50" s="42" t="n">
        <f aca="false">Inputs!$D$66/12</f>
        <v>666666.666666667</v>
      </c>
      <c r="F50" s="42" t="n">
        <f aca="false">Inputs!$D$66/12</f>
        <v>666666.666666667</v>
      </c>
      <c r="G50" s="42" t="n">
        <f aca="false">Inputs!$D$66/12</f>
        <v>666666.666666667</v>
      </c>
      <c r="H50" s="42" t="n">
        <f aca="false">Inputs!$D$66/12</f>
        <v>666666.666666667</v>
      </c>
      <c r="I50" s="42" t="n">
        <f aca="false">Inputs!$D$66/12</f>
        <v>666666.666666667</v>
      </c>
      <c r="J50" s="42" t="n">
        <f aca="false">Inputs!$D$66/12</f>
        <v>666666.666666667</v>
      </c>
      <c r="K50" s="42" t="n">
        <f aca="false">Inputs!$D$66/12</f>
        <v>666666.666666667</v>
      </c>
      <c r="L50" s="42" t="n">
        <f aca="false">Inputs!$D$66/12</f>
        <v>666666.666666667</v>
      </c>
      <c r="M50" s="42" t="n">
        <f aca="false">Inputs!$D$66/12</f>
        <v>666666.666666667</v>
      </c>
      <c r="N50" s="43" t="n">
        <f aca="false">Inputs!$D$66</f>
        <v>8000000</v>
      </c>
    </row>
    <row r="51" customFormat="false" ht="15" hidden="false" customHeight="true" outlineLevel="0" collapsed="false">
      <c r="A51" s="38" t="s">
        <v>146</v>
      </c>
      <c r="B51" s="42" t="n">
        <f aca="false">Inputs!$D$64/12</f>
        <v>416666.666666667</v>
      </c>
      <c r="C51" s="42" t="n">
        <f aca="false">Inputs!$D$64/12</f>
        <v>416666.666666667</v>
      </c>
      <c r="D51" s="42" t="n">
        <f aca="false">Inputs!$D$64/12</f>
        <v>416666.666666667</v>
      </c>
      <c r="E51" s="42" t="n">
        <f aca="false">Inputs!$D$64/12</f>
        <v>416666.666666667</v>
      </c>
      <c r="F51" s="42" t="n">
        <f aca="false">Inputs!$D$64/12</f>
        <v>416666.666666667</v>
      </c>
      <c r="G51" s="42" t="n">
        <f aca="false">Inputs!$D$64/12</f>
        <v>416666.666666667</v>
      </c>
      <c r="H51" s="42" t="n">
        <f aca="false">Inputs!$D$64/12</f>
        <v>416666.666666667</v>
      </c>
      <c r="I51" s="42" t="n">
        <f aca="false">Inputs!$D$64/12</f>
        <v>416666.666666667</v>
      </c>
      <c r="J51" s="42" t="n">
        <f aca="false">Inputs!$D$64/12</f>
        <v>416666.666666667</v>
      </c>
      <c r="K51" s="42" t="n">
        <f aca="false">Inputs!$D$64/12</f>
        <v>416666.666666667</v>
      </c>
      <c r="L51" s="42" t="n">
        <f aca="false">Inputs!$D$64/12</f>
        <v>416666.666666667</v>
      </c>
      <c r="M51" s="42" t="n">
        <f aca="false">Inputs!$D$64/12</f>
        <v>416666.666666667</v>
      </c>
      <c r="N51" s="43" t="n">
        <f aca="false">Inputs!$D$64</f>
        <v>5000000</v>
      </c>
    </row>
    <row r="52" customFormat="false" ht="15" hidden="false" customHeight="true" outlineLevel="0" collapsed="false">
      <c r="A52" s="38" t="s">
        <v>198</v>
      </c>
      <c r="B52" s="42" t="n">
        <f aca="false">Inputs!$D$67/12</f>
        <v>200000</v>
      </c>
      <c r="C52" s="42" t="n">
        <f aca="false">Inputs!$D$67/12</f>
        <v>200000</v>
      </c>
      <c r="D52" s="42" t="n">
        <f aca="false">Inputs!$D$67/12</f>
        <v>200000</v>
      </c>
      <c r="E52" s="42" t="n">
        <f aca="false">Inputs!$D$67/12</f>
        <v>200000</v>
      </c>
      <c r="F52" s="42" t="n">
        <f aca="false">Inputs!$D$67/12</f>
        <v>200000</v>
      </c>
      <c r="G52" s="42" t="n">
        <f aca="false">Inputs!$D$67/12</f>
        <v>200000</v>
      </c>
      <c r="H52" s="42" t="n">
        <f aca="false">Inputs!$D$67/12</f>
        <v>200000</v>
      </c>
      <c r="I52" s="42" t="n">
        <f aca="false">Inputs!$D$67/12</f>
        <v>200000</v>
      </c>
      <c r="J52" s="42" t="n">
        <f aca="false">Inputs!$D$67/12</f>
        <v>200000</v>
      </c>
      <c r="K52" s="42" t="n">
        <f aca="false">Inputs!$D$67/12</f>
        <v>200000</v>
      </c>
      <c r="L52" s="42" t="n">
        <f aca="false">Inputs!$D$67/12</f>
        <v>200000</v>
      </c>
      <c r="M52" s="42" t="n">
        <f aca="false">Inputs!$D$67/12</f>
        <v>200000</v>
      </c>
      <c r="N52" s="43" t="n">
        <f aca="false">Inputs!$D$67</f>
        <v>2400000</v>
      </c>
    </row>
    <row r="53" customFormat="false" ht="15" hidden="false" customHeight="true" outlineLevel="0" collapsed="false">
      <c r="A53" s="38" t="s">
        <v>153</v>
      </c>
      <c r="B53" s="42" t="n">
        <f aca="false">Inputs!$D$68/12</f>
        <v>500000</v>
      </c>
      <c r="C53" s="42" t="n">
        <f aca="false">Inputs!$D$68/12</f>
        <v>500000</v>
      </c>
      <c r="D53" s="42" t="n">
        <f aca="false">Inputs!$D$68/12</f>
        <v>500000</v>
      </c>
      <c r="E53" s="42" t="n">
        <f aca="false">Inputs!$D$68/12</f>
        <v>500000</v>
      </c>
      <c r="F53" s="42" t="n">
        <f aca="false">Inputs!$D$68/12</f>
        <v>500000</v>
      </c>
      <c r="G53" s="42" t="n">
        <f aca="false">Inputs!$D$68/12</f>
        <v>500000</v>
      </c>
      <c r="H53" s="42" t="n">
        <f aca="false">Inputs!$D$68/12</f>
        <v>500000</v>
      </c>
      <c r="I53" s="42" t="n">
        <f aca="false">Inputs!$D$68/12</f>
        <v>500000</v>
      </c>
      <c r="J53" s="42" t="n">
        <f aca="false">Inputs!$D$68/12</f>
        <v>500000</v>
      </c>
      <c r="K53" s="42" t="n">
        <f aca="false">Inputs!$D$68/12</f>
        <v>500000</v>
      </c>
      <c r="L53" s="42" t="n">
        <f aca="false">Inputs!$D$68/12</f>
        <v>500000</v>
      </c>
      <c r="M53" s="42" t="n">
        <f aca="false">Inputs!$D$68/12</f>
        <v>500000</v>
      </c>
      <c r="N53" s="43" t="n">
        <f aca="false">Inputs!$D$68</f>
        <v>6000000</v>
      </c>
    </row>
    <row r="54" customFormat="false" ht="15" hidden="false" customHeight="true" outlineLevel="0" collapsed="false">
      <c r="A54" s="38" t="s">
        <v>199</v>
      </c>
      <c r="B54" s="17" t="n">
        <f aca="false">B43*0.05</f>
        <v>0</v>
      </c>
      <c r="C54" s="17" t="n">
        <f aca="false">C43*0.05</f>
        <v>646000</v>
      </c>
      <c r="D54" s="17" t="n">
        <f aca="false">D43*0.05</f>
        <v>855000</v>
      </c>
      <c r="E54" s="17" t="n">
        <f aca="false">E43*0.05</f>
        <v>1064000</v>
      </c>
      <c r="F54" s="17" t="n">
        <f aca="false">F43*0.05</f>
        <v>1292000</v>
      </c>
      <c r="G54" s="17" t="n">
        <f aca="false">G43*0.05</f>
        <v>1501000</v>
      </c>
      <c r="H54" s="17" t="n">
        <f aca="false">H43*0.05</f>
        <v>1710000</v>
      </c>
      <c r="I54" s="17" t="n">
        <f aca="false">I43*0.05</f>
        <v>1919000</v>
      </c>
      <c r="J54" s="17" t="n">
        <f aca="false">J43*0.05</f>
        <v>2147000</v>
      </c>
      <c r="K54" s="17" t="n">
        <f aca="false">K43*0.05</f>
        <v>2356000</v>
      </c>
      <c r="L54" s="17" t="n">
        <f aca="false">L43*0.05</f>
        <v>2565000</v>
      </c>
      <c r="M54" s="17" t="n">
        <f aca="false">M43*0.05</f>
        <v>2774000</v>
      </c>
      <c r="N54" s="45" t="n">
        <f aca="false">SUM(B54:M54)</f>
        <v>18829000</v>
      </c>
    </row>
    <row r="55" customFormat="false" ht="15" hidden="false" customHeight="true" outlineLevel="0" collapsed="false">
      <c r="A55" s="46" t="s">
        <v>200</v>
      </c>
      <c r="B55" s="47" t="n">
        <f aca="false">SUM(B46:B54)</f>
        <v>18604000</v>
      </c>
      <c r="C55" s="47" t="n">
        <f aca="false">SUM(C46:C54)</f>
        <v>20784000</v>
      </c>
      <c r="D55" s="47" t="n">
        <f aca="false">SUM(D46:D54)</f>
        <v>22553000</v>
      </c>
      <c r="E55" s="47" t="n">
        <f aca="false">SUM(E46:E54)</f>
        <v>23126000</v>
      </c>
      <c r="F55" s="47" t="n">
        <f aca="false">SUM(F46:F54)</f>
        <v>24524000</v>
      </c>
      <c r="G55" s="47" t="n">
        <f aca="false">SUM(G46:G54)</f>
        <v>25383000</v>
      </c>
      <c r="H55" s="47" t="n">
        <f aca="false">SUM(H46:H54)</f>
        <v>26476000</v>
      </c>
      <c r="I55" s="47" t="n">
        <f aca="false">SUM(I46:I54)</f>
        <v>27010000</v>
      </c>
      <c r="J55" s="47" t="n">
        <f aca="false">SUM(J46:J54)</f>
        <v>28044000</v>
      </c>
      <c r="K55" s="47" t="n">
        <f aca="false">SUM(K46:K54)</f>
        <v>28253000</v>
      </c>
      <c r="L55" s="47" t="n">
        <f aca="false">SUM(L46:L54)</f>
        <v>28462000</v>
      </c>
      <c r="M55" s="47" t="n">
        <f aca="false">SUM(M46:M54)</f>
        <v>28671000</v>
      </c>
      <c r="N55" s="47" t="n">
        <f aca="false">SUM(B55:M55)</f>
        <v>301890000</v>
      </c>
    </row>
    <row r="57" customFormat="false" ht="15" hidden="false" customHeight="true" outlineLevel="0" collapsed="false">
      <c r="A57" s="22" t="s">
        <v>201</v>
      </c>
      <c r="B57" s="48" t="n">
        <f aca="false">B43-B55</f>
        <v>-18604000</v>
      </c>
      <c r="C57" s="48" t="n">
        <f aca="false">C43-C55</f>
        <v>-7864000</v>
      </c>
      <c r="D57" s="48" t="n">
        <f aca="false">D43-D55</f>
        <v>-5453000</v>
      </c>
      <c r="E57" s="48" t="n">
        <f aca="false">E43-E55</f>
        <v>-1846000</v>
      </c>
      <c r="F57" s="48" t="n">
        <f aca="false">F43-F55</f>
        <v>1316000</v>
      </c>
      <c r="G57" s="48" t="n">
        <f aca="false">G43-G55</f>
        <v>4637000</v>
      </c>
      <c r="H57" s="48" t="n">
        <f aca="false">H43-H55</f>
        <v>7724000</v>
      </c>
      <c r="I57" s="48" t="n">
        <f aca="false">I43-I55</f>
        <v>11370000</v>
      </c>
      <c r="J57" s="48" t="n">
        <f aca="false">J43-J55</f>
        <v>14896000</v>
      </c>
      <c r="K57" s="48" t="n">
        <f aca="false">K43-K55</f>
        <v>18867000</v>
      </c>
      <c r="L57" s="48" t="n">
        <f aca="false">L43-L55</f>
        <v>22838000</v>
      </c>
      <c r="M57" s="48" t="n">
        <f aca="false">M43-M55</f>
        <v>26809000</v>
      </c>
      <c r="N57" s="47" t="n">
        <f aca="false">N43-N55</f>
        <v>74690000</v>
      </c>
    </row>
    <row r="58" customFormat="false" ht="15" hidden="false" customHeight="true" outlineLevel="0" collapsed="false">
      <c r="A58" s="22" t="s">
        <v>202</v>
      </c>
      <c r="B58" s="48" t="n">
        <f aca="false">Inputs!$D$5+B57</f>
        <v>331396000</v>
      </c>
      <c r="C58" s="48" t="n">
        <f aca="false">B58+C57</f>
        <v>323532000</v>
      </c>
      <c r="D58" s="48" t="n">
        <f aca="false">C58+D57</f>
        <v>318079000</v>
      </c>
      <c r="E58" s="48" t="n">
        <f aca="false">D58+E57</f>
        <v>316233000</v>
      </c>
      <c r="F58" s="48" t="n">
        <f aca="false">E58+F57</f>
        <v>317549000</v>
      </c>
      <c r="G58" s="48" t="n">
        <f aca="false">F58+G57</f>
        <v>322186000</v>
      </c>
      <c r="H58" s="48" t="n">
        <f aca="false">G58+H57</f>
        <v>329910000</v>
      </c>
      <c r="I58" s="48" t="n">
        <f aca="false">H58+I57</f>
        <v>341280000</v>
      </c>
      <c r="J58" s="48" t="n">
        <f aca="false">I58+J57</f>
        <v>356176000</v>
      </c>
      <c r="K58" s="48" t="n">
        <f aca="false">J58+K57</f>
        <v>375043000</v>
      </c>
      <c r="L58" s="48" t="n">
        <f aca="false">K58+L57</f>
        <v>397881000</v>
      </c>
      <c r="M58" s="48" t="n">
        <f aca="false">L58+M57</f>
        <v>424690000</v>
      </c>
      <c r="N58" s="47" t="n">
        <f aca="false">M58</f>
        <v>424690000</v>
      </c>
    </row>
    <row r="59" customFormat="false" ht="15" hidden="false" customHeight="true" outlineLevel="0" collapsed="false">
      <c r="A59" s="49" t="s">
        <v>203</v>
      </c>
      <c r="B59" s="37" t="n">
        <f aca="false">Revenue!B28</f>
        <v>0</v>
      </c>
      <c r="C59" s="37" t="n">
        <f aca="false">Revenue!C28</f>
        <v>34</v>
      </c>
      <c r="D59" s="37" t="n">
        <f aca="false">Revenue!D28</f>
        <v>45</v>
      </c>
      <c r="E59" s="37" t="n">
        <f aca="false">Revenue!E28</f>
        <v>56</v>
      </c>
      <c r="F59" s="37" t="n">
        <f aca="false">Revenue!F28</f>
        <v>68</v>
      </c>
      <c r="G59" s="37" t="n">
        <f aca="false">Revenue!G28</f>
        <v>79</v>
      </c>
      <c r="H59" s="37" t="n">
        <f aca="false">Revenue!H28</f>
        <v>90</v>
      </c>
      <c r="I59" s="37" t="n">
        <f aca="false">Revenue!I28</f>
        <v>101</v>
      </c>
      <c r="J59" s="37" t="n">
        <f aca="false">Revenue!J28</f>
        <v>113</v>
      </c>
      <c r="K59" s="37" t="n">
        <f aca="false">Revenue!K28</f>
        <v>124</v>
      </c>
      <c r="L59" s="37" t="n">
        <f aca="false">Revenue!L28</f>
        <v>135</v>
      </c>
      <c r="M59" s="37" t="n">
        <f aca="false">Revenue!M28</f>
        <v>146</v>
      </c>
      <c r="N59" s="50" t="n">
        <f aca="false">SUM(B59:M59)</f>
        <v>991</v>
      </c>
    </row>
  </sheetData>
  <mergeCells count="4">
    <mergeCell ref="A1:N1"/>
    <mergeCell ref="A4:N4"/>
    <mergeCell ref="A23:N23"/>
    <mergeCell ref="A42:N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0" min="2" style="1" width="14"/>
  </cols>
  <sheetData>
    <row r="1" customFormat="false" ht="17.25" hidden="false" customHeight="true" outlineLevel="0" collapsed="false">
      <c r="A1" s="2" t="s">
        <v>204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B2" s="51" t="s">
        <v>34</v>
      </c>
      <c r="C2" s="51"/>
      <c r="D2" s="51"/>
      <c r="E2" s="52" t="s">
        <v>36</v>
      </c>
      <c r="F2" s="52"/>
      <c r="G2" s="52"/>
      <c r="H2" s="53" t="s">
        <v>38</v>
      </c>
      <c r="I2" s="53"/>
      <c r="J2" s="53"/>
    </row>
    <row r="3" customFormat="false" ht="15" hidden="false" customHeight="true" outlineLevel="0" collapsed="false">
      <c r="A3" s="27" t="s">
        <v>54</v>
      </c>
      <c r="B3" s="27" t="s">
        <v>205</v>
      </c>
      <c r="C3" s="27" t="s">
        <v>206</v>
      </c>
      <c r="D3" s="27" t="s">
        <v>207</v>
      </c>
      <c r="E3" s="27" t="s">
        <v>205</v>
      </c>
      <c r="F3" s="27" t="s">
        <v>206</v>
      </c>
      <c r="G3" s="27" t="s">
        <v>207</v>
      </c>
      <c r="H3" s="27" t="s">
        <v>205</v>
      </c>
      <c r="I3" s="27" t="s">
        <v>206</v>
      </c>
      <c r="J3" s="27" t="s">
        <v>207</v>
      </c>
    </row>
    <row r="4" customFormat="false" ht="15" hidden="false" customHeight="true" outlineLevel="0" collapsed="false">
      <c r="A4" s="22" t="s">
        <v>16</v>
      </c>
      <c r="B4" s="42" t="n">
        <f aca="false">'P&amp;L Year 1'!N5</f>
        <v>28050000</v>
      </c>
      <c r="C4" s="17" t="n">
        <f aca="false">B4*3</f>
        <v>84150000</v>
      </c>
      <c r="D4" s="17" t="n">
        <f aca="false">B4*6</f>
        <v>168300000</v>
      </c>
      <c r="E4" s="42" t="n">
        <f aca="false">'P&amp;L Year 1'!N24</f>
        <v>129600000</v>
      </c>
      <c r="F4" s="17" t="n">
        <f aca="false">E4*3.5</f>
        <v>453600000</v>
      </c>
      <c r="G4" s="17" t="n">
        <f aca="false">E4*8</f>
        <v>1036800000</v>
      </c>
      <c r="H4" s="42" t="n">
        <f aca="false">'P&amp;L Year 1'!N43</f>
        <v>376580000</v>
      </c>
      <c r="I4" s="17" t="n">
        <f aca="false">H4*4</f>
        <v>1506320000</v>
      </c>
      <c r="J4" s="17" t="n">
        <f aca="false">H4*10</f>
        <v>3765800000</v>
      </c>
    </row>
    <row r="5" customFormat="false" ht="15" hidden="false" customHeight="true" outlineLevel="0" collapsed="false">
      <c r="A5" s="38" t="s">
        <v>208</v>
      </c>
      <c r="B5" s="37" t="n">
        <f aca="false">Inputs!$B$39</f>
        <v>7</v>
      </c>
      <c r="C5" s="26" t="n">
        <f aca="false">ROUND(B5*1.7,0)</f>
        <v>12</v>
      </c>
      <c r="D5" s="26" t="n">
        <f aca="false">ROUND(B5*2.5,0)</f>
        <v>18</v>
      </c>
      <c r="E5" s="37" t="n">
        <f aca="false">Inputs!$C$39</f>
        <v>15</v>
      </c>
      <c r="F5" s="26" t="n">
        <f aca="false">ROUND(E5*2,0)</f>
        <v>30</v>
      </c>
      <c r="G5" s="26" t="n">
        <f aca="false">ROUND(E5*3,0)</f>
        <v>45</v>
      </c>
      <c r="H5" s="37" t="n">
        <f aca="false">Inputs!$D$39</f>
        <v>24</v>
      </c>
      <c r="I5" s="26" t="n">
        <f aca="false">ROUND(H5*2.2,0)</f>
        <v>53</v>
      </c>
      <c r="J5" s="26" t="n">
        <f aca="false">ROUND(H5*3.5,0)</f>
        <v>84</v>
      </c>
    </row>
    <row r="6" customFormat="false" ht="15" hidden="false" customHeight="true" outlineLevel="0" collapsed="false">
      <c r="A6" s="38" t="s">
        <v>209</v>
      </c>
      <c r="B6" s="37" t="n">
        <f aca="false">'P&amp;L Year 1'!N21</f>
        <v>85</v>
      </c>
      <c r="C6" s="26" t="n">
        <f aca="false">B6*3</f>
        <v>255</v>
      </c>
      <c r="D6" s="26" t="n">
        <f aca="false">B6*6</f>
        <v>510</v>
      </c>
      <c r="E6" s="37" t="n">
        <f aca="false">'P&amp;L Year 1'!N40</f>
        <v>360</v>
      </c>
      <c r="F6" s="26" t="n">
        <f aca="false">E6*3.5</f>
        <v>1260</v>
      </c>
      <c r="G6" s="26" t="n">
        <f aca="false">E6*8</f>
        <v>2880</v>
      </c>
      <c r="H6" s="37" t="n">
        <f aca="false">'P&amp;L Year 1'!N59</f>
        <v>991</v>
      </c>
      <c r="I6" s="26" t="n">
        <f aca="false">H6*4</f>
        <v>3964</v>
      </c>
      <c r="J6" s="26" t="n">
        <f aca="false">H6*10</f>
        <v>9910</v>
      </c>
    </row>
    <row r="7" customFormat="false" ht="15" hidden="false" customHeight="true" outlineLevel="0" collapsed="false">
      <c r="A7" s="38" t="s">
        <v>210</v>
      </c>
      <c r="B7" s="42" t="n">
        <f aca="false">'P&amp;L Year 1'!N17</f>
        <v>40696500</v>
      </c>
      <c r="C7" s="17" t="n">
        <f aca="false">B7*1.87</f>
        <v>76102455</v>
      </c>
      <c r="D7" s="17" t="n">
        <f aca="false">B7*3</f>
        <v>122089500</v>
      </c>
      <c r="E7" s="42" t="n">
        <f aca="false">'P&amp;L Year 1'!N36</f>
        <v>145667000</v>
      </c>
      <c r="F7" s="17" t="n">
        <f aca="false">E7*2.2</f>
        <v>320467400</v>
      </c>
      <c r="G7" s="17" t="n">
        <f aca="false">E7*3.6</f>
        <v>524401200</v>
      </c>
      <c r="H7" s="42" t="n">
        <f aca="false">'P&amp;L Year 1'!N55</f>
        <v>301890000</v>
      </c>
      <c r="I7" s="17" t="n">
        <f aca="false">H7*2.42</f>
        <v>730573800</v>
      </c>
      <c r="J7" s="17" t="n">
        <f aca="false">H7*4.2</f>
        <v>1267938000</v>
      </c>
    </row>
    <row r="8" customFormat="false" ht="15" hidden="false" customHeight="true" outlineLevel="0" collapsed="false">
      <c r="A8" s="46" t="s">
        <v>201</v>
      </c>
      <c r="B8" s="47" t="n">
        <f aca="false">B4-B7</f>
        <v>-12646500</v>
      </c>
      <c r="C8" s="47" t="n">
        <f aca="false">C4-C7</f>
        <v>8047544.99999999</v>
      </c>
      <c r="D8" s="47" t="n">
        <f aca="false">D4-D7</f>
        <v>46210500</v>
      </c>
      <c r="E8" s="47" t="n">
        <f aca="false">E4-E7</f>
        <v>-16067000</v>
      </c>
      <c r="F8" s="47" t="n">
        <f aca="false">F4-F7</f>
        <v>133132600</v>
      </c>
      <c r="G8" s="47" t="n">
        <f aca="false">G4-G7</f>
        <v>512398800</v>
      </c>
      <c r="H8" s="47" t="n">
        <f aca="false">H4-H7</f>
        <v>74690000</v>
      </c>
      <c r="I8" s="47" t="n">
        <f aca="false">I4-I7</f>
        <v>775746200</v>
      </c>
      <c r="J8" s="47" t="n">
        <f aca="false">J4-J7</f>
        <v>2497862000</v>
      </c>
    </row>
    <row r="9" customFormat="false" ht="15" hidden="false" customHeight="true" outlineLevel="0" collapsed="false">
      <c r="A9" s="38" t="s">
        <v>211</v>
      </c>
      <c r="B9" s="25" t="n">
        <f aca="false">IFERROR(B8/B4,0)</f>
        <v>-0.450855614973262</v>
      </c>
      <c r="C9" s="25" t="n">
        <f aca="false">IFERROR(C8/C4,0)</f>
        <v>0.0956333333333332</v>
      </c>
      <c r="D9" s="25" t="n">
        <f aca="false">IFERROR(D8/D4,0)</f>
        <v>0.274572192513369</v>
      </c>
      <c r="E9" s="25" t="n">
        <f aca="false">IFERROR(E8/E4,0)</f>
        <v>-0.123973765432099</v>
      </c>
      <c r="F9" s="25" t="n">
        <f aca="false">IFERROR(F8/F4,0)</f>
        <v>0.293502204585538</v>
      </c>
      <c r="G9" s="25" t="n">
        <f aca="false">IFERROR(G8/G4,0)</f>
        <v>0.494211805555556</v>
      </c>
      <c r="H9" s="25" t="n">
        <f aca="false">IFERROR(H8/H4,0)</f>
        <v>0.198337670614478</v>
      </c>
      <c r="I9" s="25" t="n">
        <f aca="false">IFERROR(I8/I4,0)</f>
        <v>0.514994290721759</v>
      </c>
      <c r="J9" s="25" t="n">
        <f aca="false">IFERROR(J8/J4,0)</f>
        <v>0.663301821658081</v>
      </c>
    </row>
    <row r="10" customFormat="false" ht="15" hidden="false" customHeight="true" outlineLevel="0" collapsed="false">
      <c r="A10" s="22" t="s">
        <v>212</v>
      </c>
      <c r="B10" s="48" t="n">
        <f aca="false">'P&amp;L Year 1'!N20</f>
        <v>17353500</v>
      </c>
      <c r="C10" s="17" t="n">
        <f aca="false">B10+C8</f>
        <v>25401045</v>
      </c>
      <c r="D10" s="17" t="n">
        <f aca="false">C10+D8</f>
        <v>71611545</v>
      </c>
      <c r="E10" s="48" t="n">
        <f aca="false">'P&amp;L Year 1'!N39</f>
        <v>163933000</v>
      </c>
      <c r="F10" s="17" t="n">
        <f aca="false">E10+F8</f>
        <v>297065600</v>
      </c>
      <c r="G10" s="17" t="n">
        <f aca="false">F10+G8</f>
        <v>809464400</v>
      </c>
      <c r="H10" s="48" t="n">
        <f aca="false">'P&amp;L Year 1'!N58</f>
        <v>424690000</v>
      </c>
      <c r="I10" s="17" t="n">
        <f aca="false">H10+I8</f>
        <v>1200436200</v>
      </c>
      <c r="J10" s="17" t="n">
        <f aca="false">I10+J8</f>
        <v>3698298200</v>
      </c>
    </row>
  </sheetData>
  <mergeCells count="4">
    <mergeCell ref="A1:J1"/>
    <mergeCell ref="B2:D2"/>
    <mergeCell ref="E2:G2"/>
    <mergeCell ref="H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18"/>
    <col collapsed="false" customWidth="true" hidden="false" outlineLevel="0" max="5" min="5" style="1" width="50"/>
  </cols>
  <sheetData>
    <row r="1" customFormat="false" ht="17.25" hidden="false" customHeight="true" outlineLevel="0" collapsed="false">
      <c r="A1" s="2" t="s">
        <v>213</v>
      </c>
      <c r="B1" s="2"/>
      <c r="C1" s="2"/>
      <c r="D1" s="2"/>
      <c r="E1" s="2"/>
    </row>
    <row r="3" customFormat="false" ht="15" hidden="false" customHeight="true" outlineLevel="0" collapsed="false">
      <c r="A3" s="27" t="s">
        <v>54</v>
      </c>
      <c r="B3" s="8" t="s">
        <v>34</v>
      </c>
      <c r="C3" s="9" t="s">
        <v>36</v>
      </c>
      <c r="D3" s="10" t="s">
        <v>38</v>
      </c>
      <c r="E3" s="27" t="s">
        <v>214</v>
      </c>
    </row>
    <row r="4" customFormat="false" ht="15" hidden="false" customHeight="true" outlineLevel="0" collapsed="false">
      <c r="A4" s="12" t="s">
        <v>215</v>
      </c>
      <c r="B4" s="42" t="n">
        <f aca="false">Inputs!B5</f>
        <v>30000000</v>
      </c>
      <c r="C4" s="42" t="n">
        <f aca="false">Inputs!C5</f>
        <v>180000000</v>
      </c>
      <c r="D4" s="42" t="n">
        <f aca="false">Inputs!D5</f>
        <v>350000000</v>
      </c>
      <c r="E4" s="54" t="s">
        <v>216</v>
      </c>
    </row>
    <row r="5" customFormat="false" ht="15" hidden="false" customHeight="true" outlineLevel="0" collapsed="false">
      <c r="A5" s="12" t="s">
        <v>61</v>
      </c>
      <c r="B5" s="42" t="n">
        <f aca="false">Inputs!B7</f>
        <v>0</v>
      </c>
      <c r="C5" s="42" t="n">
        <f aca="false">Inputs!C7</f>
        <v>820000000</v>
      </c>
      <c r="D5" s="42" t="n">
        <f aca="false">Inputs!D7</f>
        <v>820000000</v>
      </c>
      <c r="E5" s="54" t="s">
        <v>217</v>
      </c>
    </row>
    <row r="6" customFormat="false" ht="15" hidden="false" customHeight="true" outlineLevel="0" collapsed="false">
      <c r="A6" s="12" t="s">
        <v>218</v>
      </c>
      <c r="B6" s="17" t="n">
        <f aca="false">B4+B5</f>
        <v>30000000</v>
      </c>
      <c r="C6" s="17" t="n">
        <f aca="false">C4+C5</f>
        <v>1000000000</v>
      </c>
      <c r="D6" s="17" t="n">
        <f aca="false">D4+D5</f>
        <v>1170000000</v>
      </c>
      <c r="E6" s="54" t="s">
        <v>219</v>
      </c>
    </row>
    <row r="7" customFormat="false" ht="15" hidden="false" customHeight="true" outlineLevel="0" collapsed="false">
      <c r="A7" s="12" t="s">
        <v>220</v>
      </c>
      <c r="B7" s="55" t="n">
        <f aca="false">Inputs!B6</f>
        <v>0</v>
      </c>
      <c r="C7" s="55" t="n">
        <f aca="false">Inputs!C6</f>
        <v>0.18</v>
      </c>
      <c r="D7" s="55" t="n">
        <f aca="false">Inputs!D6</f>
        <v>0.3</v>
      </c>
      <c r="E7" s="54" t="s">
        <v>221</v>
      </c>
    </row>
    <row r="8" customFormat="false" ht="15" hidden="false" customHeight="true" outlineLevel="0" collapsed="false">
      <c r="A8" s="12" t="s">
        <v>222</v>
      </c>
      <c r="B8" s="25" t="n">
        <f aca="false">1-B7</f>
        <v>1</v>
      </c>
      <c r="C8" s="25" t="n">
        <f aca="false">1-C7</f>
        <v>0.82</v>
      </c>
      <c r="D8" s="25" t="n">
        <f aca="false">1-D7</f>
        <v>0.7</v>
      </c>
      <c r="E8" s="54" t="s">
        <v>223</v>
      </c>
    </row>
    <row r="10" customFormat="false" ht="15" hidden="false" customHeight="true" outlineLevel="0" collapsed="false">
      <c r="A10" s="11" t="s">
        <v>224</v>
      </c>
      <c r="B10" s="11"/>
      <c r="C10" s="11"/>
      <c r="D10" s="11"/>
      <c r="E10" s="11"/>
    </row>
    <row r="11" customFormat="false" ht="15" hidden="false" customHeight="true" outlineLevel="0" collapsed="false">
      <c r="A11" s="7" t="s">
        <v>225</v>
      </c>
      <c r="B11" s="7" t="s">
        <v>34</v>
      </c>
      <c r="C11" s="7" t="s">
        <v>36</v>
      </c>
      <c r="D11" s="7" t="s">
        <v>38</v>
      </c>
      <c r="E11" s="7" t="s">
        <v>226</v>
      </c>
    </row>
    <row r="12" customFormat="false" ht="15" hidden="false" customHeight="true" outlineLevel="0" collapsed="false">
      <c r="A12" s="38" t="s">
        <v>227</v>
      </c>
      <c r="B12" s="42" t="n">
        <f aca="false">'P&amp;L Year 1'!N8</f>
        <v>19994000</v>
      </c>
      <c r="C12" s="42" t="n">
        <f aca="false">'P&amp;L Year 1'!N27</f>
        <v>57187000</v>
      </c>
      <c r="D12" s="42" t="n">
        <f aca="false">'P&amp;L Year 1'!N46</f>
        <v>100061000</v>
      </c>
    </row>
    <row r="13" customFormat="false" ht="15" hidden="false" customHeight="true" outlineLevel="0" collapsed="false">
      <c r="A13" s="38" t="s">
        <v>194</v>
      </c>
      <c r="B13" s="42" t="n">
        <f aca="false">'P&amp;L Year 1'!N9</f>
        <v>12000000</v>
      </c>
      <c r="C13" s="42" t="n">
        <f aca="false">'P&amp;L Year 1'!N28</f>
        <v>60000000</v>
      </c>
      <c r="D13" s="42" t="n">
        <f aca="false">'P&amp;L Year 1'!N47</f>
        <v>140000000</v>
      </c>
    </row>
    <row r="14" customFormat="false" ht="15" hidden="false" customHeight="true" outlineLevel="0" collapsed="false">
      <c r="A14" s="38" t="s">
        <v>195</v>
      </c>
      <c r="B14" s="42" t="n">
        <f aca="false">'P&amp;L Year 1'!N10</f>
        <v>2400000</v>
      </c>
      <c r="C14" s="42" t="n">
        <f aca="false">'P&amp;L Year 1'!N29</f>
        <v>6000000</v>
      </c>
      <c r="D14" s="42" t="n">
        <f aca="false">'P&amp;L Year 1'!N48</f>
        <v>12000000</v>
      </c>
    </row>
    <row r="15" customFormat="false" ht="15" hidden="false" customHeight="true" outlineLevel="0" collapsed="false">
      <c r="A15" s="38" t="s">
        <v>196</v>
      </c>
      <c r="B15" s="42" t="n">
        <f aca="false">'P&amp;L Year 1'!N11</f>
        <v>600000</v>
      </c>
      <c r="C15" s="42" t="n">
        <f aca="false">'P&amp;L Year 1'!N30</f>
        <v>4800000</v>
      </c>
      <c r="D15" s="42" t="n">
        <f aca="false">'P&amp;L Year 1'!N49</f>
        <v>9600000</v>
      </c>
    </row>
    <row r="16" customFormat="false" ht="15" hidden="false" customHeight="true" outlineLevel="0" collapsed="false">
      <c r="A16" s="38" t="s">
        <v>228</v>
      </c>
      <c r="B16" s="42" t="n">
        <f aca="false">'P&amp;L Year 1'!N12</f>
        <v>1500000</v>
      </c>
      <c r="C16" s="42" t="n">
        <f aca="false">'P&amp;L Year 1'!N31</f>
        <v>4000000</v>
      </c>
      <c r="D16" s="42" t="n">
        <f aca="false">'P&amp;L Year 1'!N50</f>
        <v>8000000</v>
      </c>
    </row>
    <row r="17" customFormat="false" ht="15" hidden="false" customHeight="true" outlineLevel="0" collapsed="false">
      <c r="A17" s="38" t="s">
        <v>229</v>
      </c>
      <c r="B17" s="42" t="n">
        <f aca="false">'P&amp;L Year 1'!N13</f>
        <v>1200000</v>
      </c>
      <c r="C17" s="42" t="n">
        <f aca="false">'P&amp;L Year 1'!N32</f>
        <v>3000000</v>
      </c>
      <c r="D17" s="42" t="n">
        <f aca="false">'P&amp;L Year 1'!N51</f>
        <v>5000000</v>
      </c>
    </row>
    <row r="18" customFormat="false" ht="15" hidden="false" customHeight="true" outlineLevel="0" collapsed="false">
      <c r="A18" s="38" t="s">
        <v>230</v>
      </c>
      <c r="B18" s="42" t="n">
        <f aca="false">'P&amp;L Year 1'!N14</f>
        <v>600000</v>
      </c>
      <c r="C18" s="42" t="n">
        <f aca="false">'P&amp;L Year 1'!N33</f>
        <v>1200000</v>
      </c>
      <c r="D18" s="42" t="n">
        <f aca="false">'P&amp;L Year 1'!N52</f>
        <v>2400000</v>
      </c>
    </row>
    <row r="19" customFormat="false" ht="15" hidden="false" customHeight="true" outlineLevel="0" collapsed="false">
      <c r="A19" s="38" t="s">
        <v>153</v>
      </c>
      <c r="B19" s="42" t="n">
        <f aca="false">'P&amp;L Year 1'!N15</f>
        <v>1000000</v>
      </c>
      <c r="C19" s="42" t="n">
        <f aca="false">'P&amp;L Year 1'!N34</f>
        <v>3000000</v>
      </c>
      <c r="D19" s="42" t="n">
        <f aca="false">'P&amp;L Year 1'!N53</f>
        <v>6000000</v>
      </c>
    </row>
    <row r="20" customFormat="false" ht="15" hidden="false" customHeight="true" outlineLevel="0" collapsed="false">
      <c r="A20" s="38" t="s">
        <v>231</v>
      </c>
      <c r="B20" s="42" t="n">
        <f aca="false">'P&amp;L Year 1'!N16</f>
        <v>1402500</v>
      </c>
      <c r="C20" s="42" t="n">
        <f aca="false">'P&amp;L Year 1'!N35</f>
        <v>6480000</v>
      </c>
      <c r="D20" s="42" t="n">
        <f aca="false">'P&amp;L Year 1'!N54</f>
        <v>18829000</v>
      </c>
    </row>
    <row r="21" customFormat="false" ht="15" hidden="false" customHeight="true" outlineLevel="0" collapsed="false">
      <c r="A21" s="46" t="s">
        <v>232</v>
      </c>
      <c r="B21" s="47" t="n">
        <f aca="false">SUM(B12:B20)</f>
        <v>40696500</v>
      </c>
      <c r="C21" s="47" t="n">
        <f aca="false">SUM(C12:C20)</f>
        <v>145667000</v>
      </c>
      <c r="D21" s="47" t="n">
        <f aca="false">SUM(D12:D20)</f>
        <v>301890000</v>
      </c>
    </row>
    <row r="22" customFormat="false" ht="15" hidden="false" customHeight="true" outlineLevel="0" collapsed="false">
      <c r="A22" s="38" t="s">
        <v>233</v>
      </c>
      <c r="B22" s="42" t="n">
        <f aca="false">-'P&amp;L Year 1'!N5</f>
        <v>-28050000</v>
      </c>
      <c r="C22" s="42" t="n">
        <f aca="false">-'P&amp;L Year 1'!N24</f>
        <v>-129600000</v>
      </c>
      <c r="D22" s="42" t="n">
        <f aca="false">-'P&amp;L Year 1'!N43</f>
        <v>-376580000</v>
      </c>
    </row>
    <row r="23" customFormat="false" ht="15" hidden="false" customHeight="true" outlineLevel="0" collapsed="false">
      <c r="A23" s="46" t="s">
        <v>234</v>
      </c>
      <c r="B23" s="47" t="n">
        <f aca="false">B21+B22</f>
        <v>12646500</v>
      </c>
      <c r="C23" s="47" t="n">
        <f aca="false">C21+C22</f>
        <v>16067000</v>
      </c>
      <c r="D23" s="47" t="n">
        <f aca="false">D21+D22</f>
        <v>-74690000</v>
      </c>
    </row>
    <row r="24" customFormat="false" ht="15" hidden="false" customHeight="true" outlineLevel="0" collapsed="false">
      <c r="A24" s="22" t="s">
        <v>235</v>
      </c>
      <c r="B24" s="48" t="n">
        <f aca="false">B4-B23</f>
        <v>17353500</v>
      </c>
      <c r="C24" s="48" t="n">
        <f aca="false">C4-C23</f>
        <v>163933000</v>
      </c>
      <c r="D24" s="48" t="n">
        <f aca="false">D4-D23</f>
        <v>424690000</v>
      </c>
    </row>
    <row r="25" customFormat="false" ht="15" hidden="false" customHeight="true" outlineLevel="0" collapsed="false">
      <c r="A25" s="38" t="s">
        <v>236</v>
      </c>
      <c r="B25" s="56" t="n">
        <f aca="false">IF(B23&lt;=0,"профицит",B24/(B23/12))</f>
        <v>16.4663740955996</v>
      </c>
      <c r="C25" s="56" t="n">
        <f aca="false">IF(C23&lt;=0,"профицит",C24/(C23/12))</f>
        <v>122.437044874588</v>
      </c>
      <c r="D25" s="56" t="str">
        <f aca="false">IF(D23&lt;=0,"профицит",D24/(D23/12))</f>
        <v>профицит</v>
      </c>
    </row>
  </sheetData>
  <mergeCells count="2">
    <mergeCell ref="A1:E1"/>
    <mergeCell ref="A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2026-04-29T18:48:10Z</dcterms:created>
  <dc:creator>openpyxl</dc:creator>
  <dc:description/>
  <dc:language>en-US</dc:language>
  <cp:lastModifiedBy/>
  <dcterms:modified xsi:type="dcterms:W3CDTF">2026-04-29T18:53:46Z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